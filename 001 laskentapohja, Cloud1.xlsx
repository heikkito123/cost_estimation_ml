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noworks-my.sharepoint.com/personal/toimisto_renoworks_fi/Documents/001 TOIMISTOURAKAT/002 URAKAT/0536 T4 Cloud1/002 Tarjouskansio/001 laskentasarja/"/>
    </mc:Choice>
  </mc:AlternateContent>
  <xr:revisionPtr revIDLastSave="327" documentId="8_{9CB20250-0A33-4D07-999A-EB213CBA5476}" xr6:coauthVersionLast="47" xr6:coauthVersionMax="47" xr10:uidLastSave="{95F4817A-8EBE-4637-8C99-7D35A2008618}"/>
  <bookViews>
    <workbookView xWindow="570" yWindow="555" windowWidth="21420" windowHeight="18960" tabRatio="1000" activeTab="10" xr2:uid="{345D33A8-47E7-468F-AFCD-3E90DE716B94}"/>
  </bookViews>
  <sheets>
    <sheet name="Tuntihinnoittelut" sheetId="8" r:id="rId1"/>
    <sheet name="Materiaalihinnoittelut" sheetId="11" r:id="rId2"/>
    <sheet name="Purkutyöt" sheetId="9" r:id="rId3"/>
    <sheet name="Väliseinät sisällä" sheetId="3" r:id="rId4"/>
    <sheet name="Maalaukset" sheetId="5" r:id="rId5"/>
    <sheet name="Alakatot" sheetId="6" r:id="rId6"/>
    <sheet name="Laatoitukset" sheetId="12" r:id="rId7"/>
    <sheet name="Lattiat" sheetId="7" r:id="rId8"/>
    <sheet name="Oviasennukset ja listoitukset" sheetId="10" r:id="rId9"/>
    <sheet name="Erillishankinnat" sheetId="14" r:id="rId10"/>
    <sheet name="Eritelysivu" sheetId="4" r:id="rId11"/>
    <sheet name="Koontisivu" sheetId="13" r:id="rId12"/>
    <sheet name="Massalista, rak. tarvikkeet " sheetId="15" r:id="rId13"/>
    <sheet name="Budjetti" sheetId="16" r:id="rId14"/>
  </sheets>
  <definedNames>
    <definedName name="_xlnm._FilterDatabase" localSheetId="5" hidden="1">Alakatot!$B$1:$B$240</definedName>
    <definedName name="_xlnm._FilterDatabase" localSheetId="9" hidden="1">Erillishankinnat!$C$1:$C$79</definedName>
    <definedName name="_xlnm._FilterDatabase" localSheetId="6" hidden="1">Laatoitukset!$B$1:$B$330</definedName>
    <definedName name="_xlnm._FilterDatabase" localSheetId="7" hidden="1">Lattiat!$B$1:$B$279</definedName>
    <definedName name="_xlnm._FilterDatabase" localSheetId="4" hidden="1">Maalaukset!$B$1:$B$739</definedName>
    <definedName name="_xlnm._FilterDatabase" localSheetId="12" hidden="1">'Massalista, rak. tarvikkeet '!$E$1:$E$365</definedName>
    <definedName name="_xlnm._FilterDatabase" localSheetId="1" hidden="1">Materiaalihinnoittelut!$E$1:$E$327</definedName>
    <definedName name="_xlnm._FilterDatabase" localSheetId="8" hidden="1">'Oviasennukset ja listoitukset'!$B$1:$B$272</definedName>
    <definedName name="_xlnm._FilterDatabase" localSheetId="2" hidden="1">Purkutyöt!$H$11:$H$27</definedName>
    <definedName name="_xlnm._FilterDatabase" localSheetId="0" hidden="1">Tuntihinnoittelut!$C$1:$C$39</definedName>
    <definedName name="_xlnm._FilterDatabase" localSheetId="3" hidden="1">'Väliseinät sisällä'!$B$1:$B$349</definedName>
    <definedName name="_xlnm.Print_Area" localSheetId="10">Eritelysivu!$A$1:$G$137</definedName>
  </definedNames>
  <calcPr calcId="191029" iterate="1" iterateCount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" i="4" l="1"/>
  <c r="G45" i="4"/>
  <c r="C49" i="4"/>
  <c r="C95" i="4"/>
  <c r="G75" i="4"/>
  <c r="C75" i="4"/>
  <c r="G26" i="4"/>
  <c r="C26" i="4"/>
  <c r="C14" i="14"/>
  <c r="C4" i="14"/>
  <c r="B15" i="5"/>
  <c r="C14" i="16"/>
  <c r="C11" i="16"/>
  <c r="C7" i="16"/>
  <c r="F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H7" i="14"/>
  <c r="H6" i="14"/>
  <c r="H5" i="14"/>
  <c r="H4" i="14"/>
  <c r="I11" i="14"/>
  <c r="I10" i="14"/>
  <c r="I9" i="14"/>
  <c r="I8" i="14"/>
  <c r="I7" i="14"/>
  <c r="I6" i="14"/>
  <c r="I5" i="14"/>
  <c r="I4" i="14"/>
  <c r="E15" i="16"/>
  <c r="E16" i="16"/>
  <c r="F14" i="16"/>
  <c r="F11" i="16"/>
  <c r="D11" i="16"/>
  <c r="I9" i="16"/>
  <c r="I8" i="16"/>
  <c r="I7" i="16"/>
  <c r="F7" i="16"/>
  <c r="D7" i="16"/>
  <c r="I6" i="16"/>
  <c r="E15" i="10"/>
  <c r="H33" i="9"/>
  <c r="H34" i="9"/>
  <c r="H35" i="9"/>
  <c r="H36" i="9"/>
  <c r="H37" i="9"/>
  <c r="H38" i="9"/>
  <c r="H39" i="9"/>
  <c r="H42" i="9"/>
  <c r="H43" i="9"/>
  <c r="E120" i="4"/>
  <c r="B329" i="12"/>
  <c r="B296" i="12"/>
  <c r="B263" i="12"/>
  <c r="B230" i="12"/>
  <c r="B197" i="12"/>
  <c r="B239" i="6"/>
  <c r="B209" i="6"/>
  <c r="B179" i="6"/>
  <c r="B149" i="6"/>
  <c r="B119" i="6"/>
  <c r="B89" i="6"/>
  <c r="B393" i="5"/>
  <c r="B360" i="5"/>
  <c r="B327" i="5"/>
  <c r="B294" i="5"/>
  <c r="B261" i="5"/>
  <c r="B228" i="5"/>
  <c r="B195" i="5"/>
  <c r="B162" i="5"/>
  <c r="B129" i="5"/>
  <c r="B96" i="5"/>
  <c r="C30" i="16"/>
  <c r="K6" i="16"/>
  <c r="J6" i="16"/>
  <c r="E14" i="16"/>
  <c r="J9" i="16"/>
  <c r="C344" i="3"/>
  <c r="C301" i="3"/>
  <c r="C258" i="3"/>
  <c r="C215" i="3"/>
  <c r="C172" i="3"/>
  <c r="C129" i="3"/>
  <c r="AB292" i="3"/>
  <c r="AB249" i="3"/>
  <c r="AB206" i="3"/>
  <c r="AB163" i="3"/>
  <c r="AB120" i="3"/>
  <c r="K9" i="16"/>
  <c r="L9" i="16"/>
  <c r="AA316" i="3"/>
  <c r="AB316" i="3"/>
  <c r="AB315" i="3"/>
  <c r="AA315" i="3"/>
  <c r="AA273" i="3"/>
  <c r="AB273" i="3"/>
  <c r="AB272" i="3"/>
  <c r="AA272" i="3"/>
  <c r="AA230" i="3"/>
  <c r="AB230" i="3"/>
  <c r="AA229" i="3"/>
  <c r="AB229" i="3"/>
  <c r="AA187" i="3"/>
  <c r="AB187" i="3"/>
  <c r="AA186" i="3"/>
  <c r="AB186" i="3"/>
  <c r="AA144" i="3"/>
  <c r="AB144" i="3"/>
  <c r="AA143" i="3"/>
  <c r="AB143" i="3"/>
  <c r="AA101" i="3"/>
  <c r="AB101" i="3"/>
  <c r="AA100" i="3"/>
  <c r="AB100" i="3"/>
  <c r="AA57" i="3"/>
  <c r="AB57" i="3"/>
  <c r="AB56" i="3"/>
  <c r="AA56" i="3"/>
  <c r="AA12" i="3"/>
  <c r="AB12" i="3"/>
  <c r="R324" i="3"/>
  <c r="S324" i="3"/>
  <c r="T324" i="3"/>
  <c r="U324" i="3"/>
  <c r="V324" i="3"/>
  <c r="W324" i="3"/>
  <c r="X324" i="3"/>
  <c r="Q324" i="3"/>
  <c r="R281" i="3"/>
  <c r="S281" i="3"/>
  <c r="T281" i="3"/>
  <c r="U281" i="3"/>
  <c r="V281" i="3"/>
  <c r="W281" i="3"/>
  <c r="X281" i="3"/>
  <c r="Q281" i="3"/>
  <c r="R238" i="3"/>
  <c r="S238" i="3"/>
  <c r="T238" i="3"/>
  <c r="U238" i="3"/>
  <c r="V238" i="3"/>
  <c r="W238" i="3"/>
  <c r="X238" i="3"/>
  <c r="Q238" i="3"/>
  <c r="R195" i="3"/>
  <c r="S195" i="3"/>
  <c r="T195" i="3"/>
  <c r="U195" i="3"/>
  <c r="V195" i="3"/>
  <c r="W195" i="3"/>
  <c r="X195" i="3"/>
  <c r="Q195" i="3"/>
  <c r="R152" i="3"/>
  <c r="S152" i="3"/>
  <c r="T152" i="3"/>
  <c r="U152" i="3"/>
  <c r="V152" i="3"/>
  <c r="W152" i="3"/>
  <c r="X152" i="3"/>
  <c r="Q152" i="3"/>
  <c r="R109" i="3"/>
  <c r="S109" i="3"/>
  <c r="T109" i="3"/>
  <c r="U109" i="3"/>
  <c r="V109" i="3"/>
  <c r="W109" i="3"/>
  <c r="X109" i="3"/>
  <c r="Q109" i="3"/>
  <c r="H323" i="3"/>
  <c r="H322" i="3"/>
  <c r="H280" i="3"/>
  <c r="H279" i="3"/>
  <c r="H237" i="3"/>
  <c r="H236" i="3"/>
  <c r="H194" i="3"/>
  <c r="H193" i="3"/>
  <c r="H151" i="3"/>
  <c r="H150" i="3"/>
  <c r="H108" i="3"/>
  <c r="H107" i="3"/>
  <c r="H64" i="3"/>
  <c r="H63" i="3"/>
  <c r="H18" i="3"/>
  <c r="H19" i="3"/>
  <c r="H320" i="3"/>
  <c r="H277" i="3"/>
  <c r="H234" i="3"/>
  <c r="H191" i="3"/>
  <c r="H148" i="3"/>
  <c r="H105" i="3"/>
  <c r="H61" i="3"/>
  <c r="H315" i="3"/>
  <c r="H272" i="3"/>
  <c r="H229" i="3"/>
  <c r="H186" i="3"/>
  <c r="H143" i="3"/>
  <c r="H100" i="3"/>
  <c r="H311" i="3"/>
  <c r="H268" i="3"/>
  <c r="H225" i="3"/>
  <c r="H182" i="3"/>
  <c r="H139" i="3"/>
  <c r="H96" i="3"/>
  <c r="H56" i="3"/>
  <c r="H52" i="3"/>
  <c r="R65" i="3"/>
  <c r="S65" i="3"/>
  <c r="T65" i="3"/>
  <c r="U65" i="3"/>
  <c r="V65" i="3"/>
  <c r="W65" i="3"/>
  <c r="X65" i="3"/>
  <c r="Q65" i="3"/>
  <c r="H16" i="3"/>
  <c r="H11" i="3"/>
  <c r="H7" i="3"/>
  <c r="AA321" i="3"/>
  <c r="AB321" i="3"/>
  <c r="AA320" i="3"/>
  <c r="AB320" i="3"/>
  <c r="AA278" i="3"/>
  <c r="AB278" i="3"/>
  <c r="AA277" i="3"/>
  <c r="AB277" i="3"/>
  <c r="AA235" i="3"/>
  <c r="AB235" i="3"/>
  <c r="AA234" i="3"/>
  <c r="AB234" i="3"/>
  <c r="AA192" i="3"/>
  <c r="AB192" i="3"/>
  <c r="AA191" i="3"/>
  <c r="AB191" i="3"/>
  <c r="AA149" i="3"/>
  <c r="AB149" i="3"/>
  <c r="AA148" i="3"/>
  <c r="AB148" i="3"/>
  <c r="AA106" i="3"/>
  <c r="AB106" i="3"/>
  <c r="AA105" i="3"/>
  <c r="AB105" i="3"/>
  <c r="AA62" i="3"/>
  <c r="AB62" i="3"/>
  <c r="AA61" i="3"/>
  <c r="AB61" i="3"/>
  <c r="AA63" i="3"/>
  <c r="AB63" i="3"/>
  <c r="AA17" i="3"/>
  <c r="AB17" i="3"/>
  <c r="AA16" i="3"/>
  <c r="AB16" i="3"/>
  <c r="R321" i="3"/>
  <c r="S321" i="3"/>
  <c r="T321" i="3"/>
  <c r="U321" i="3"/>
  <c r="V321" i="3"/>
  <c r="W321" i="3"/>
  <c r="X321" i="3"/>
  <c r="Q321" i="3"/>
  <c r="R278" i="3"/>
  <c r="S278" i="3"/>
  <c r="T278" i="3"/>
  <c r="U278" i="3"/>
  <c r="V278" i="3"/>
  <c r="W278" i="3"/>
  <c r="X278" i="3"/>
  <c r="Q278" i="3"/>
  <c r="R235" i="3"/>
  <c r="S235" i="3"/>
  <c r="T235" i="3"/>
  <c r="U235" i="3"/>
  <c r="V235" i="3"/>
  <c r="W235" i="3"/>
  <c r="X235" i="3"/>
  <c r="Q235" i="3"/>
  <c r="R192" i="3"/>
  <c r="S192" i="3"/>
  <c r="T192" i="3"/>
  <c r="U192" i="3"/>
  <c r="V192" i="3"/>
  <c r="W192" i="3"/>
  <c r="X192" i="3"/>
  <c r="Q192" i="3"/>
  <c r="R149" i="3"/>
  <c r="S149" i="3"/>
  <c r="T149" i="3"/>
  <c r="U149" i="3"/>
  <c r="V149" i="3"/>
  <c r="W149" i="3"/>
  <c r="X149" i="3"/>
  <c r="Q149" i="3"/>
  <c r="R106" i="3"/>
  <c r="S106" i="3"/>
  <c r="T106" i="3"/>
  <c r="U106" i="3"/>
  <c r="V106" i="3"/>
  <c r="W106" i="3"/>
  <c r="X106" i="3"/>
  <c r="Q106" i="3"/>
  <c r="R62" i="3"/>
  <c r="S62" i="3"/>
  <c r="T62" i="3"/>
  <c r="U62" i="3"/>
  <c r="V62" i="3"/>
  <c r="W62" i="3"/>
  <c r="X62" i="3"/>
  <c r="Q62" i="3"/>
  <c r="R17" i="3"/>
  <c r="S17" i="3"/>
  <c r="T17" i="3"/>
  <c r="U17" i="3"/>
  <c r="V17" i="3"/>
  <c r="W17" i="3"/>
  <c r="X17" i="3"/>
  <c r="Q17" i="3"/>
  <c r="N317" i="12"/>
  <c r="N183" i="12"/>
  <c r="AA333" i="3"/>
  <c r="AB333" i="3"/>
  <c r="AA330" i="3"/>
  <c r="AB330" i="3"/>
  <c r="AA325" i="3"/>
  <c r="AB325" i="3"/>
  <c r="AA322" i="3"/>
  <c r="AB322" i="3"/>
  <c r="AA319" i="3"/>
  <c r="AB319" i="3"/>
  <c r="AA318" i="3"/>
  <c r="AB318" i="3"/>
  <c r="AA312" i="3"/>
  <c r="AB312" i="3"/>
  <c r="AA311" i="3"/>
  <c r="AB311" i="3"/>
  <c r="AA290" i="3"/>
  <c r="AB290" i="3"/>
  <c r="AA287" i="3"/>
  <c r="AB287" i="3"/>
  <c r="AA282" i="3"/>
  <c r="AB282" i="3"/>
  <c r="AA279" i="3"/>
  <c r="AB279" i="3"/>
  <c r="AA276" i="3"/>
  <c r="AB276" i="3"/>
  <c r="AA275" i="3"/>
  <c r="AB275" i="3"/>
  <c r="AA269" i="3"/>
  <c r="AB269" i="3"/>
  <c r="AA268" i="3"/>
  <c r="AB268" i="3"/>
  <c r="AA247" i="3"/>
  <c r="AB247" i="3"/>
  <c r="AA244" i="3"/>
  <c r="AB244" i="3"/>
  <c r="AA239" i="3"/>
  <c r="AB239" i="3"/>
  <c r="AA236" i="3"/>
  <c r="AB236" i="3"/>
  <c r="AA233" i="3"/>
  <c r="AB233" i="3"/>
  <c r="AA232" i="3"/>
  <c r="AB232" i="3"/>
  <c r="AA226" i="3"/>
  <c r="AB226" i="3"/>
  <c r="AA225" i="3"/>
  <c r="AB225" i="3"/>
  <c r="AA204" i="3"/>
  <c r="AB204" i="3"/>
  <c r="AA201" i="3"/>
  <c r="AB201" i="3"/>
  <c r="AA196" i="3"/>
  <c r="AB196" i="3"/>
  <c r="AA193" i="3"/>
  <c r="AB193" i="3"/>
  <c r="AA190" i="3"/>
  <c r="AB190" i="3"/>
  <c r="AA189" i="3"/>
  <c r="AB189" i="3"/>
  <c r="AA183" i="3"/>
  <c r="AB183" i="3"/>
  <c r="AA182" i="3"/>
  <c r="AB182" i="3"/>
  <c r="AA161" i="3"/>
  <c r="AB161" i="3"/>
  <c r="AA158" i="3"/>
  <c r="AB158" i="3"/>
  <c r="AA153" i="3"/>
  <c r="AB153" i="3"/>
  <c r="AA150" i="3"/>
  <c r="AB150" i="3"/>
  <c r="AA147" i="3"/>
  <c r="AB147" i="3"/>
  <c r="AA146" i="3"/>
  <c r="AB146" i="3"/>
  <c r="AA140" i="3"/>
  <c r="AB140" i="3"/>
  <c r="AA139" i="3"/>
  <c r="AB139" i="3"/>
  <c r="AA118" i="3"/>
  <c r="AB118" i="3"/>
  <c r="AA115" i="3"/>
  <c r="AB115" i="3"/>
  <c r="AA110" i="3"/>
  <c r="AB110" i="3"/>
  <c r="AA107" i="3"/>
  <c r="AB107" i="3"/>
  <c r="AA104" i="3"/>
  <c r="AB104" i="3"/>
  <c r="AA103" i="3"/>
  <c r="AB103" i="3"/>
  <c r="AA97" i="3"/>
  <c r="AB97" i="3"/>
  <c r="AA96" i="3"/>
  <c r="AB96" i="3"/>
  <c r="AA74" i="3"/>
  <c r="AB74" i="3"/>
  <c r="AA71" i="3"/>
  <c r="AB71" i="3"/>
  <c r="AA66" i="3"/>
  <c r="AB66" i="3"/>
  <c r="AA60" i="3"/>
  <c r="AB60" i="3"/>
  <c r="AA59" i="3"/>
  <c r="AB59" i="3"/>
  <c r="AA53" i="3"/>
  <c r="AB53" i="3"/>
  <c r="AA52" i="3"/>
  <c r="AB52" i="3"/>
  <c r="AA21" i="3"/>
  <c r="AB21" i="3"/>
  <c r="AA24" i="3"/>
  <c r="AA29" i="3"/>
  <c r="AB29" i="3"/>
  <c r="AA18" i="3"/>
  <c r="AB18" i="3"/>
  <c r="AA11" i="3"/>
  <c r="AB11" i="3"/>
  <c r="AA14" i="3"/>
  <c r="AB14" i="3"/>
  <c r="AA15" i="3"/>
  <c r="AB15" i="3"/>
  <c r="AA8" i="3"/>
  <c r="AB8" i="3"/>
  <c r="AA7" i="3"/>
  <c r="AB7" i="3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43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43" i="15"/>
  <c r="D16" i="15"/>
  <c r="E16" i="15"/>
  <c r="D15" i="15"/>
  <c r="E15" i="15"/>
  <c r="D14" i="15"/>
  <c r="E14" i="15"/>
  <c r="B88" i="4"/>
  <c r="B87" i="4"/>
  <c r="B86" i="4"/>
  <c r="B85" i="4"/>
  <c r="B84" i="4"/>
  <c r="J323" i="12"/>
  <c r="I323" i="12"/>
  <c r="P321" i="12"/>
  <c r="Q321" i="12"/>
  <c r="R321" i="12"/>
  <c r="L321" i="12"/>
  <c r="N321" i="12"/>
  <c r="J321" i="12"/>
  <c r="H321" i="12"/>
  <c r="Q319" i="12"/>
  <c r="R319" i="12"/>
  <c r="L319" i="12"/>
  <c r="N319" i="12"/>
  <c r="H319" i="12"/>
  <c r="J319" i="12"/>
  <c r="R318" i="12"/>
  <c r="N318" i="12"/>
  <c r="Q317" i="12"/>
  <c r="R317" i="12"/>
  <c r="L317" i="12"/>
  <c r="I317" i="12"/>
  <c r="J317" i="12"/>
  <c r="H317" i="12"/>
  <c r="R316" i="12"/>
  <c r="N316" i="12"/>
  <c r="P315" i="12"/>
  <c r="Q315" i="12"/>
  <c r="R315" i="12"/>
  <c r="L315" i="12"/>
  <c r="J315" i="12"/>
  <c r="H315" i="12"/>
  <c r="R314" i="12"/>
  <c r="N314" i="12"/>
  <c r="Q313" i="12"/>
  <c r="R313" i="12"/>
  <c r="P313" i="12"/>
  <c r="L313" i="12"/>
  <c r="N313" i="12"/>
  <c r="J313" i="12"/>
  <c r="I313" i="12"/>
  <c r="R312" i="12"/>
  <c r="N312" i="12"/>
  <c r="R311" i="12"/>
  <c r="N311" i="12"/>
  <c r="P310" i="12"/>
  <c r="Q310" i="12"/>
  <c r="R310" i="12"/>
  <c r="L310" i="12"/>
  <c r="N310" i="12"/>
  <c r="I310" i="12"/>
  <c r="J310" i="12"/>
  <c r="H310" i="12"/>
  <c r="R309" i="12"/>
  <c r="N309" i="12"/>
  <c r="R308" i="12"/>
  <c r="N308" i="12"/>
  <c r="P307" i="12"/>
  <c r="Q307" i="12"/>
  <c r="R307" i="12"/>
  <c r="L307" i="12"/>
  <c r="N307" i="12"/>
  <c r="I307" i="12"/>
  <c r="J307" i="12"/>
  <c r="H307" i="12"/>
  <c r="R306" i="12"/>
  <c r="N306" i="12"/>
  <c r="R305" i="12"/>
  <c r="N305" i="12"/>
  <c r="J305" i="12"/>
  <c r="Q304" i="12"/>
  <c r="R304" i="12"/>
  <c r="P304" i="12"/>
  <c r="L304" i="12"/>
  <c r="N304" i="12"/>
  <c r="I304" i="12"/>
  <c r="H304" i="12"/>
  <c r="J304" i="12"/>
  <c r="J290" i="12"/>
  <c r="I290" i="12"/>
  <c r="P288" i="12"/>
  <c r="Q288" i="12"/>
  <c r="R288" i="12"/>
  <c r="L288" i="12"/>
  <c r="N288" i="12"/>
  <c r="J288" i="12"/>
  <c r="H288" i="12"/>
  <c r="Q286" i="12"/>
  <c r="R286" i="12"/>
  <c r="N286" i="12"/>
  <c r="L286" i="12"/>
  <c r="H286" i="12"/>
  <c r="J286" i="12"/>
  <c r="R285" i="12"/>
  <c r="N285" i="12"/>
  <c r="Q284" i="12"/>
  <c r="R284" i="12"/>
  <c r="N284" i="12"/>
  <c r="L284" i="12"/>
  <c r="I284" i="12"/>
  <c r="H284" i="12"/>
  <c r="J284" i="12"/>
  <c r="R283" i="12"/>
  <c r="N283" i="12"/>
  <c r="P282" i="12"/>
  <c r="Q282" i="12"/>
  <c r="R282" i="12"/>
  <c r="L282" i="12"/>
  <c r="J282" i="12"/>
  <c r="H282" i="12"/>
  <c r="R281" i="12"/>
  <c r="N281" i="12"/>
  <c r="R280" i="12"/>
  <c r="Q280" i="12"/>
  <c r="P280" i="12"/>
  <c r="L280" i="12"/>
  <c r="N280" i="12"/>
  <c r="I280" i="12"/>
  <c r="J280" i="12"/>
  <c r="R279" i="12"/>
  <c r="N279" i="12"/>
  <c r="R278" i="12"/>
  <c r="N278" i="12"/>
  <c r="Q277" i="12"/>
  <c r="R277" i="12"/>
  <c r="P277" i="12"/>
  <c r="L277" i="12"/>
  <c r="N277" i="12"/>
  <c r="I277" i="12"/>
  <c r="H277" i="12"/>
  <c r="J277" i="12"/>
  <c r="R276" i="12"/>
  <c r="N276" i="12"/>
  <c r="R275" i="12"/>
  <c r="N275" i="12"/>
  <c r="Q274" i="12"/>
  <c r="R274" i="12"/>
  <c r="P274" i="12"/>
  <c r="L274" i="12"/>
  <c r="N274" i="12"/>
  <c r="I274" i="12"/>
  <c r="H274" i="12"/>
  <c r="J274" i="12"/>
  <c r="R273" i="12"/>
  <c r="N273" i="12"/>
  <c r="R272" i="12"/>
  <c r="N272" i="12"/>
  <c r="J272" i="12"/>
  <c r="P271" i="12"/>
  <c r="Q271" i="12"/>
  <c r="R271" i="12"/>
  <c r="L271" i="12"/>
  <c r="N271" i="12"/>
  <c r="I271" i="12"/>
  <c r="H271" i="12"/>
  <c r="J271" i="12"/>
  <c r="J257" i="12"/>
  <c r="I257" i="12"/>
  <c r="P255" i="12"/>
  <c r="Q255" i="12"/>
  <c r="R255" i="12"/>
  <c r="L255" i="12"/>
  <c r="N255" i="12"/>
  <c r="J255" i="12"/>
  <c r="H255" i="12"/>
  <c r="Q253" i="12"/>
  <c r="R253" i="12"/>
  <c r="L253" i="12"/>
  <c r="N253" i="12"/>
  <c r="H253" i="12"/>
  <c r="J253" i="12"/>
  <c r="R252" i="12"/>
  <c r="N252" i="12"/>
  <c r="Q251" i="12"/>
  <c r="R251" i="12"/>
  <c r="N251" i="12"/>
  <c r="L251" i="12"/>
  <c r="I251" i="12"/>
  <c r="J251" i="12"/>
  <c r="H251" i="12"/>
  <c r="R250" i="12"/>
  <c r="N250" i="12"/>
  <c r="P249" i="12"/>
  <c r="Q249" i="12"/>
  <c r="R249" i="12"/>
  <c r="L249" i="12"/>
  <c r="N249" i="12"/>
  <c r="J249" i="12"/>
  <c r="H249" i="12"/>
  <c r="R248" i="12"/>
  <c r="N248" i="12"/>
  <c r="Q247" i="12"/>
  <c r="R247" i="12"/>
  <c r="P247" i="12"/>
  <c r="L247" i="12"/>
  <c r="N247" i="12"/>
  <c r="J247" i="12"/>
  <c r="I247" i="12"/>
  <c r="R246" i="12"/>
  <c r="N246" i="12"/>
  <c r="R245" i="12"/>
  <c r="N245" i="12"/>
  <c r="P244" i="12"/>
  <c r="Q244" i="12"/>
  <c r="R244" i="12"/>
  <c r="L244" i="12"/>
  <c r="N244" i="12"/>
  <c r="I244" i="12"/>
  <c r="J244" i="12"/>
  <c r="H244" i="12"/>
  <c r="R243" i="12"/>
  <c r="N243" i="12"/>
  <c r="R242" i="12"/>
  <c r="N242" i="12"/>
  <c r="P241" i="12"/>
  <c r="Q241" i="12"/>
  <c r="R241" i="12"/>
  <c r="L241" i="12"/>
  <c r="N241" i="12"/>
  <c r="I241" i="12"/>
  <c r="J241" i="12"/>
  <c r="H241" i="12"/>
  <c r="R240" i="12"/>
  <c r="N240" i="12"/>
  <c r="R239" i="12"/>
  <c r="N239" i="12"/>
  <c r="J239" i="12"/>
  <c r="Q238" i="12"/>
  <c r="R238" i="12"/>
  <c r="P238" i="12"/>
  <c r="L238" i="12"/>
  <c r="N238" i="12"/>
  <c r="I238" i="12"/>
  <c r="H238" i="12"/>
  <c r="J238" i="12"/>
  <c r="J224" i="12"/>
  <c r="I224" i="12"/>
  <c r="P222" i="12"/>
  <c r="Q222" i="12"/>
  <c r="R222" i="12"/>
  <c r="L222" i="12"/>
  <c r="N222" i="12"/>
  <c r="J222" i="12"/>
  <c r="H222" i="12"/>
  <c r="Q220" i="12"/>
  <c r="R220" i="12"/>
  <c r="N220" i="12"/>
  <c r="L220" i="12"/>
  <c r="H220" i="12"/>
  <c r="J220" i="12"/>
  <c r="R219" i="12"/>
  <c r="N219" i="12"/>
  <c r="Q218" i="12"/>
  <c r="R218" i="12"/>
  <c r="N218" i="12"/>
  <c r="L218" i="12"/>
  <c r="I218" i="12"/>
  <c r="J218" i="12"/>
  <c r="H218" i="12"/>
  <c r="R217" i="12"/>
  <c r="N217" i="12"/>
  <c r="P216" i="12"/>
  <c r="Q216" i="12"/>
  <c r="R216" i="12"/>
  <c r="L216" i="12"/>
  <c r="N216" i="12"/>
  <c r="J216" i="12"/>
  <c r="H216" i="12"/>
  <c r="R215" i="12"/>
  <c r="N215" i="12"/>
  <c r="Q214" i="12"/>
  <c r="R214" i="12"/>
  <c r="P214" i="12"/>
  <c r="L214" i="12"/>
  <c r="N214" i="12"/>
  <c r="J214" i="12"/>
  <c r="I214" i="12"/>
  <c r="R213" i="12"/>
  <c r="N213" i="12"/>
  <c r="R212" i="12"/>
  <c r="N212" i="12"/>
  <c r="P211" i="12"/>
  <c r="Q211" i="12"/>
  <c r="R211" i="12"/>
  <c r="L211" i="12"/>
  <c r="N211" i="12"/>
  <c r="I211" i="12"/>
  <c r="J211" i="12"/>
  <c r="H211" i="12"/>
  <c r="R210" i="12"/>
  <c r="N210" i="12"/>
  <c r="R209" i="12"/>
  <c r="N209" i="12"/>
  <c r="P208" i="12"/>
  <c r="Q208" i="12"/>
  <c r="R208" i="12"/>
  <c r="L208" i="12"/>
  <c r="N208" i="12"/>
  <c r="I208" i="12"/>
  <c r="J208" i="12"/>
  <c r="H208" i="12"/>
  <c r="R207" i="12"/>
  <c r="N207" i="12"/>
  <c r="R206" i="12"/>
  <c r="N206" i="12"/>
  <c r="J206" i="12"/>
  <c r="P205" i="12"/>
  <c r="Q205" i="12"/>
  <c r="R205" i="12"/>
  <c r="L205" i="12"/>
  <c r="N205" i="12"/>
  <c r="I205" i="12"/>
  <c r="H205" i="12"/>
  <c r="J205" i="12"/>
  <c r="J191" i="12"/>
  <c r="I191" i="12"/>
  <c r="P189" i="12"/>
  <c r="Q189" i="12"/>
  <c r="R189" i="12"/>
  <c r="N189" i="12"/>
  <c r="L189" i="12"/>
  <c r="J189" i="12"/>
  <c r="H189" i="12"/>
  <c r="Q187" i="12"/>
  <c r="R187" i="12"/>
  <c r="L187" i="12"/>
  <c r="H187" i="12"/>
  <c r="J187" i="12"/>
  <c r="R186" i="12"/>
  <c r="N186" i="12"/>
  <c r="R185" i="12"/>
  <c r="Q185" i="12"/>
  <c r="N185" i="12"/>
  <c r="L185" i="12"/>
  <c r="I185" i="12"/>
  <c r="H185" i="12"/>
  <c r="J185" i="12"/>
  <c r="R184" i="12"/>
  <c r="N184" i="12"/>
  <c r="P183" i="12"/>
  <c r="Q183" i="12"/>
  <c r="R183" i="12"/>
  <c r="L183" i="12"/>
  <c r="J183" i="12"/>
  <c r="H183" i="12"/>
  <c r="R182" i="12"/>
  <c r="N182" i="12"/>
  <c r="Q181" i="12"/>
  <c r="R181" i="12"/>
  <c r="P181" i="12"/>
  <c r="L181" i="12"/>
  <c r="N181" i="12"/>
  <c r="I181" i="12"/>
  <c r="J181" i="12"/>
  <c r="R180" i="12"/>
  <c r="N180" i="12"/>
  <c r="R179" i="12"/>
  <c r="N179" i="12"/>
  <c r="P178" i="12"/>
  <c r="Q178" i="12"/>
  <c r="R178" i="12"/>
  <c r="L178" i="12"/>
  <c r="N178" i="12"/>
  <c r="I178" i="12"/>
  <c r="H178" i="12"/>
  <c r="J178" i="12"/>
  <c r="R177" i="12"/>
  <c r="N177" i="12"/>
  <c r="R176" i="12"/>
  <c r="N176" i="12"/>
  <c r="P175" i="12"/>
  <c r="Q175" i="12"/>
  <c r="R175" i="12"/>
  <c r="L175" i="12"/>
  <c r="N175" i="12"/>
  <c r="I175" i="12"/>
  <c r="H175" i="12"/>
  <c r="J175" i="12"/>
  <c r="R174" i="12"/>
  <c r="N174" i="12"/>
  <c r="R173" i="12"/>
  <c r="N173" i="12"/>
  <c r="J173" i="12"/>
  <c r="P172" i="12"/>
  <c r="Q172" i="12"/>
  <c r="R172" i="12"/>
  <c r="L172" i="12"/>
  <c r="N172" i="12"/>
  <c r="I172" i="12"/>
  <c r="H172" i="12"/>
  <c r="J172" i="12"/>
  <c r="J158" i="12"/>
  <c r="I158" i="12"/>
  <c r="P156" i="12"/>
  <c r="Q156" i="12"/>
  <c r="R156" i="12"/>
  <c r="L156" i="12"/>
  <c r="N156" i="12"/>
  <c r="J156" i="12"/>
  <c r="H156" i="12"/>
  <c r="Q154" i="12"/>
  <c r="R154" i="12"/>
  <c r="L154" i="12"/>
  <c r="N154" i="12"/>
  <c r="J154" i="12"/>
  <c r="H154" i="12"/>
  <c r="R153" i="12"/>
  <c r="N153" i="12"/>
  <c r="Q152" i="12"/>
  <c r="R152" i="12"/>
  <c r="N152" i="12"/>
  <c r="L152" i="12"/>
  <c r="I152" i="12"/>
  <c r="J152" i="12"/>
  <c r="H152" i="12"/>
  <c r="R151" i="12"/>
  <c r="N151" i="12"/>
  <c r="P150" i="12"/>
  <c r="Q150" i="12"/>
  <c r="R150" i="12"/>
  <c r="L150" i="12"/>
  <c r="J150" i="12"/>
  <c r="H150" i="12"/>
  <c r="R149" i="12"/>
  <c r="N149" i="12"/>
  <c r="P148" i="12"/>
  <c r="Q148" i="12"/>
  <c r="R148" i="12"/>
  <c r="L148" i="12"/>
  <c r="N148" i="12"/>
  <c r="J148" i="12"/>
  <c r="I148" i="12"/>
  <c r="R147" i="12"/>
  <c r="N147" i="12"/>
  <c r="R146" i="12"/>
  <c r="N146" i="12"/>
  <c r="P145" i="12"/>
  <c r="Q145" i="12"/>
  <c r="R145" i="12"/>
  <c r="L145" i="12"/>
  <c r="N145" i="12"/>
  <c r="I145" i="12"/>
  <c r="H145" i="12"/>
  <c r="R144" i="12"/>
  <c r="N144" i="12"/>
  <c r="R143" i="12"/>
  <c r="N143" i="12"/>
  <c r="P142" i="12"/>
  <c r="Q142" i="12"/>
  <c r="R142" i="12"/>
  <c r="N142" i="12"/>
  <c r="L142" i="12"/>
  <c r="I142" i="12"/>
  <c r="J142" i="12"/>
  <c r="H142" i="12"/>
  <c r="R141" i="12"/>
  <c r="N141" i="12"/>
  <c r="R140" i="12"/>
  <c r="N140" i="12"/>
  <c r="J140" i="12"/>
  <c r="P139" i="12"/>
  <c r="Q139" i="12"/>
  <c r="R139" i="12"/>
  <c r="L139" i="12"/>
  <c r="N139" i="12"/>
  <c r="I139" i="12"/>
  <c r="H139" i="12"/>
  <c r="J139" i="12"/>
  <c r="J125" i="12"/>
  <c r="I125" i="12"/>
  <c r="P123" i="12"/>
  <c r="Q123" i="12"/>
  <c r="R123" i="12"/>
  <c r="L123" i="12"/>
  <c r="N123" i="12"/>
  <c r="H123" i="12"/>
  <c r="J123" i="12"/>
  <c r="Q121" i="12"/>
  <c r="R121" i="12"/>
  <c r="L121" i="12"/>
  <c r="N121" i="12"/>
  <c r="H121" i="12"/>
  <c r="J121" i="12"/>
  <c r="R120" i="12"/>
  <c r="N120" i="12"/>
  <c r="Q119" i="12"/>
  <c r="R119" i="12"/>
  <c r="L119" i="12"/>
  <c r="N119" i="12"/>
  <c r="I119" i="12"/>
  <c r="H119" i="12"/>
  <c r="J119" i="12"/>
  <c r="R118" i="12"/>
  <c r="N118" i="12"/>
  <c r="P117" i="12"/>
  <c r="Q117" i="12"/>
  <c r="R117" i="12"/>
  <c r="L117" i="12"/>
  <c r="N117" i="12"/>
  <c r="H117" i="12"/>
  <c r="J117" i="12"/>
  <c r="R116" i="12"/>
  <c r="N116" i="12"/>
  <c r="P115" i="12"/>
  <c r="Q115" i="12"/>
  <c r="R115" i="12"/>
  <c r="L115" i="12"/>
  <c r="N115" i="12"/>
  <c r="I115" i="12"/>
  <c r="J115" i="12"/>
  <c r="R114" i="12"/>
  <c r="N114" i="12"/>
  <c r="R113" i="12"/>
  <c r="N113" i="12"/>
  <c r="P112" i="12"/>
  <c r="Q112" i="12"/>
  <c r="R112" i="12"/>
  <c r="L112" i="12"/>
  <c r="N112" i="12"/>
  <c r="I112" i="12"/>
  <c r="H112" i="12"/>
  <c r="R111" i="12"/>
  <c r="N111" i="12"/>
  <c r="R110" i="12"/>
  <c r="N110" i="12"/>
  <c r="P109" i="12"/>
  <c r="Q109" i="12"/>
  <c r="R109" i="12"/>
  <c r="L109" i="12"/>
  <c r="N109" i="12"/>
  <c r="I109" i="12"/>
  <c r="H109" i="12"/>
  <c r="R108" i="12"/>
  <c r="N108" i="12"/>
  <c r="R107" i="12"/>
  <c r="N107" i="12"/>
  <c r="J107" i="12"/>
  <c r="Q106" i="12"/>
  <c r="R106" i="12"/>
  <c r="P106" i="12"/>
  <c r="L106" i="12"/>
  <c r="N106" i="12"/>
  <c r="J106" i="12"/>
  <c r="I106" i="12"/>
  <c r="H106" i="12"/>
  <c r="J92" i="12"/>
  <c r="I92" i="12"/>
  <c r="P90" i="12"/>
  <c r="Q90" i="12"/>
  <c r="R90" i="12"/>
  <c r="L90" i="12"/>
  <c r="N90" i="12"/>
  <c r="J90" i="12"/>
  <c r="H90" i="12"/>
  <c r="Q88" i="12"/>
  <c r="R88" i="12"/>
  <c r="N88" i="12"/>
  <c r="L88" i="12"/>
  <c r="J88" i="12"/>
  <c r="H88" i="12"/>
  <c r="R87" i="12"/>
  <c r="N87" i="12"/>
  <c r="Q86" i="12"/>
  <c r="R86" i="12"/>
  <c r="N86" i="12"/>
  <c r="L86" i="12"/>
  <c r="I86" i="12"/>
  <c r="J86" i="12"/>
  <c r="H86" i="12"/>
  <c r="R85" i="12"/>
  <c r="N85" i="12"/>
  <c r="P84" i="12"/>
  <c r="Q84" i="12"/>
  <c r="R84" i="12"/>
  <c r="L84" i="12"/>
  <c r="N84" i="12"/>
  <c r="J84" i="12"/>
  <c r="H84" i="12"/>
  <c r="R83" i="12"/>
  <c r="N83" i="12"/>
  <c r="Q82" i="12"/>
  <c r="R82" i="12"/>
  <c r="P82" i="12"/>
  <c r="L82" i="12"/>
  <c r="N82" i="12"/>
  <c r="J82" i="12"/>
  <c r="I82" i="12"/>
  <c r="R81" i="12"/>
  <c r="N81" i="12"/>
  <c r="R80" i="12"/>
  <c r="N80" i="12"/>
  <c r="P79" i="12"/>
  <c r="Q79" i="12"/>
  <c r="R79" i="12"/>
  <c r="N79" i="12"/>
  <c r="L79" i="12"/>
  <c r="I79" i="12"/>
  <c r="J79" i="12"/>
  <c r="H79" i="12"/>
  <c r="R78" i="12"/>
  <c r="N78" i="12"/>
  <c r="R77" i="12"/>
  <c r="N77" i="12"/>
  <c r="P76" i="12"/>
  <c r="Q76" i="12"/>
  <c r="R76" i="12"/>
  <c r="N76" i="12"/>
  <c r="L76" i="12"/>
  <c r="I76" i="12"/>
  <c r="J76" i="12"/>
  <c r="H76" i="12"/>
  <c r="R75" i="12"/>
  <c r="N75" i="12"/>
  <c r="R74" i="12"/>
  <c r="N74" i="12"/>
  <c r="J74" i="12"/>
  <c r="P73" i="12"/>
  <c r="Q73" i="12"/>
  <c r="R73" i="12"/>
  <c r="L73" i="12"/>
  <c r="N73" i="12"/>
  <c r="I73" i="12"/>
  <c r="H73" i="12"/>
  <c r="J59" i="12"/>
  <c r="I59" i="12"/>
  <c r="P57" i="12"/>
  <c r="Q57" i="12"/>
  <c r="R57" i="12"/>
  <c r="L57" i="12"/>
  <c r="N57" i="12"/>
  <c r="H57" i="12"/>
  <c r="J57" i="12"/>
  <c r="Q55" i="12"/>
  <c r="R55" i="12"/>
  <c r="L55" i="12"/>
  <c r="N55" i="12"/>
  <c r="H55" i="12"/>
  <c r="J55" i="12"/>
  <c r="R54" i="12"/>
  <c r="N54" i="12"/>
  <c r="Q53" i="12"/>
  <c r="R53" i="12"/>
  <c r="L53" i="12"/>
  <c r="I53" i="12"/>
  <c r="H53" i="12"/>
  <c r="J53" i="12"/>
  <c r="R52" i="12"/>
  <c r="N52" i="12"/>
  <c r="P51" i="12"/>
  <c r="Q51" i="12"/>
  <c r="R51" i="12"/>
  <c r="L51" i="12"/>
  <c r="H51" i="12"/>
  <c r="J51" i="12"/>
  <c r="R50" i="12"/>
  <c r="N50" i="12"/>
  <c r="P49" i="12"/>
  <c r="Q49" i="12"/>
  <c r="R49" i="12"/>
  <c r="L49" i="12"/>
  <c r="N49" i="12"/>
  <c r="I49" i="12"/>
  <c r="J49" i="12"/>
  <c r="R48" i="12"/>
  <c r="N48" i="12"/>
  <c r="R47" i="12"/>
  <c r="N47" i="12"/>
  <c r="P46" i="12"/>
  <c r="Q46" i="12"/>
  <c r="R46" i="12"/>
  <c r="L46" i="12"/>
  <c r="N46" i="12"/>
  <c r="I46" i="12"/>
  <c r="H46" i="12"/>
  <c r="R45" i="12"/>
  <c r="N45" i="12"/>
  <c r="R44" i="12"/>
  <c r="N44" i="12"/>
  <c r="P43" i="12"/>
  <c r="Q43" i="12"/>
  <c r="R43" i="12"/>
  <c r="L43" i="12"/>
  <c r="N43" i="12"/>
  <c r="I43" i="12"/>
  <c r="H43" i="12"/>
  <c r="J43" i="12"/>
  <c r="R42" i="12"/>
  <c r="N42" i="12"/>
  <c r="R41" i="12"/>
  <c r="N41" i="12"/>
  <c r="J41" i="12"/>
  <c r="P40" i="12"/>
  <c r="Q40" i="12"/>
  <c r="R40" i="12"/>
  <c r="L40" i="12"/>
  <c r="N40" i="12"/>
  <c r="I40" i="12"/>
  <c r="H40" i="12"/>
  <c r="J40" i="12"/>
  <c r="I10" i="12"/>
  <c r="R11" i="12"/>
  <c r="R12" i="12"/>
  <c r="P13" i="12"/>
  <c r="Q13" i="12"/>
  <c r="R13" i="12"/>
  <c r="P16" i="12"/>
  <c r="Q16" i="12"/>
  <c r="R16" i="12"/>
  <c r="P18" i="12"/>
  <c r="Q18" i="12"/>
  <c r="R18" i="12"/>
  <c r="Q20" i="12"/>
  <c r="R20" i="12"/>
  <c r="Q22" i="12"/>
  <c r="R22" i="12"/>
  <c r="P24" i="12"/>
  <c r="Q24" i="12"/>
  <c r="R24" i="12"/>
  <c r="L24" i="12"/>
  <c r="N24" i="12"/>
  <c r="H24" i="12"/>
  <c r="J24" i="12"/>
  <c r="R8" i="12"/>
  <c r="R9" i="12"/>
  <c r="P10" i="12"/>
  <c r="Q10" i="12"/>
  <c r="R10" i="12"/>
  <c r="R14" i="12"/>
  <c r="R15" i="12"/>
  <c r="R17" i="12"/>
  <c r="R19" i="12"/>
  <c r="R21" i="12"/>
  <c r="P7" i="12"/>
  <c r="Q7" i="12"/>
  <c r="R7" i="12"/>
  <c r="H22" i="12"/>
  <c r="J22" i="12"/>
  <c r="H18" i="12"/>
  <c r="J18" i="12"/>
  <c r="H20" i="12"/>
  <c r="I20" i="12"/>
  <c r="I16" i="12"/>
  <c r="J16" i="12"/>
  <c r="I7" i="12"/>
  <c r="J26" i="12"/>
  <c r="I26" i="12"/>
  <c r="L22" i="12"/>
  <c r="N22" i="12"/>
  <c r="N21" i="12"/>
  <c r="L20" i="12"/>
  <c r="N20" i="12"/>
  <c r="N19" i="12"/>
  <c r="L18" i="12"/>
  <c r="N18" i="12"/>
  <c r="N17" i="12"/>
  <c r="L16" i="12"/>
  <c r="N15" i="12"/>
  <c r="N14" i="12"/>
  <c r="L13" i="12"/>
  <c r="N13" i="12"/>
  <c r="I13" i="12"/>
  <c r="H13" i="12"/>
  <c r="N12" i="12"/>
  <c r="N11" i="12"/>
  <c r="L10" i="12"/>
  <c r="N10" i="12"/>
  <c r="H10" i="12"/>
  <c r="N9" i="12"/>
  <c r="N8" i="12"/>
  <c r="J8" i="12"/>
  <c r="L7" i="12"/>
  <c r="N7" i="12"/>
  <c r="H7" i="12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4" i="11"/>
  <c r="J145" i="12"/>
  <c r="J160" i="12"/>
  <c r="B161" i="12"/>
  <c r="B83" i="4"/>
  <c r="J109" i="12"/>
  <c r="J112" i="12"/>
  <c r="J127" i="12"/>
  <c r="B128" i="12"/>
  <c r="B82" i="4"/>
  <c r="AB31" i="3"/>
  <c r="C40" i="3"/>
  <c r="J73" i="12"/>
  <c r="J94" i="12"/>
  <c r="B95" i="12"/>
  <c r="B81" i="4"/>
  <c r="N94" i="12"/>
  <c r="S20" i="3"/>
  <c r="X20" i="3"/>
  <c r="T20" i="3"/>
  <c r="R20" i="3"/>
  <c r="Q20" i="3"/>
  <c r="W20" i="3"/>
  <c r="V20" i="3"/>
  <c r="U20" i="3"/>
  <c r="J46" i="12"/>
  <c r="J61" i="12"/>
  <c r="B62" i="12"/>
  <c r="B80" i="4"/>
  <c r="N53" i="12"/>
  <c r="N315" i="12"/>
  <c r="N325" i="12"/>
  <c r="C88" i="4"/>
  <c r="N282" i="12"/>
  <c r="N292" i="12"/>
  <c r="C87" i="4"/>
  <c r="N187" i="12"/>
  <c r="N193" i="12"/>
  <c r="C84" i="4"/>
  <c r="N150" i="12"/>
  <c r="N160" i="12"/>
  <c r="N51" i="12"/>
  <c r="N16" i="12"/>
  <c r="N28" i="12"/>
  <c r="J325" i="12"/>
  <c r="B326" i="12"/>
  <c r="J292" i="12"/>
  <c r="B293" i="12"/>
  <c r="J259" i="12"/>
  <c r="B260" i="12"/>
  <c r="N259" i="12"/>
  <c r="C86" i="4"/>
  <c r="J226" i="12"/>
  <c r="B227" i="12"/>
  <c r="N226" i="12"/>
  <c r="C85" i="4"/>
  <c r="J193" i="12"/>
  <c r="B194" i="12"/>
  <c r="N127" i="12"/>
  <c r="J20" i="12"/>
  <c r="J13" i="12"/>
  <c r="J10" i="12"/>
  <c r="J7" i="12"/>
  <c r="B164" i="12"/>
  <c r="C83" i="4"/>
  <c r="B131" i="12"/>
  <c r="C82" i="4"/>
  <c r="B98" i="12"/>
  <c r="C81" i="4"/>
  <c r="B32" i="12"/>
  <c r="C79" i="4"/>
  <c r="N61" i="12"/>
  <c r="J28" i="12"/>
  <c r="B29" i="12"/>
  <c r="B79" i="4"/>
  <c r="B90" i="4"/>
  <c r="B65" i="12"/>
  <c r="C80" i="4"/>
  <c r="C90" i="4"/>
  <c r="C92" i="4"/>
  <c r="C94" i="4"/>
  <c r="C96" i="4"/>
  <c r="B92" i="4"/>
  <c r="B94" i="4"/>
  <c r="B2" i="4"/>
  <c r="E113" i="4"/>
  <c r="D38" i="13"/>
  <c r="E112" i="4"/>
  <c r="D37" i="13"/>
  <c r="E111" i="4"/>
  <c r="D36" i="13"/>
  <c r="E110" i="4"/>
  <c r="D35" i="13"/>
  <c r="E109" i="4"/>
  <c r="D34" i="13"/>
  <c r="E108" i="4"/>
  <c r="D33" i="13"/>
  <c r="E107" i="4"/>
  <c r="D32" i="13"/>
  <c r="E106" i="4"/>
  <c r="D31" i="13"/>
  <c r="E105" i="4"/>
  <c r="D30" i="13"/>
  <c r="E104" i="4"/>
  <c r="D29" i="13"/>
  <c r="E103" i="4"/>
  <c r="D28" i="13"/>
  <c r="E102" i="4"/>
  <c r="D27" i="13"/>
  <c r="E101" i="4"/>
  <c r="D26" i="13"/>
  <c r="E100" i="4"/>
  <c r="D25" i="13"/>
  <c r="E99" i="4"/>
  <c r="D24" i="13"/>
  <c r="C113" i="4"/>
  <c r="A38" i="13"/>
  <c r="C112" i="4"/>
  <c r="A37" i="13"/>
  <c r="C111" i="4"/>
  <c r="A36" i="13"/>
  <c r="C110" i="4"/>
  <c r="A35" i="13"/>
  <c r="C109" i="4"/>
  <c r="A34" i="13"/>
  <c r="C108" i="4"/>
  <c r="A33" i="13"/>
  <c r="C107" i="4"/>
  <c r="A32" i="13"/>
  <c r="C106" i="4"/>
  <c r="A31" i="13"/>
  <c r="C105" i="4"/>
  <c r="A30" i="13"/>
  <c r="C104" i="4"/>
  <c r="A29" i="13"/>
  <c r="C103" i="4"/>
  <c r="A28" i="13"/>
  <c r="C102" i="4"/>
  <c r="A27" i="13"/>
  <c r="C101" i="4"/>
  <c r="A26" i="13"/>
  <c r="C100" i="4"/>
  <c r="A25" i="13"/>
  <c r="C99" i="4"/>
  <c r="A24" i="13"/>
  <c r="B113" i="4"/>
  <c r="C38" i="13"/>
  <c r="B112" i="4"/>
  <c r="C37" i="13"/>
  <c r="B111" i="4"/>
  <c r="C36" i="13"/>
  <c r="B110" i="4"/>
  <c r="C35" i="13"/>
  <c r="B109" i="4"/>
  <c r="C34" i="13"/>
  <c r="C76" i="14"/>
  <c r="C77" i="14"/>
  <c r="D29" i="16"/>
  <c r="C71" i="14"/>
  <c r="C72" i="14"/>
  <c r="D28" i="16"/>
  <c r="C66" i="14"/>
  <c r="C67" i="14"/>
  <c r="D27" i="16"/>
  <c r="C61" i="14"/>
  <c r="C62" i="14"/>
  <c r="D26" i="16"/>
  <c r="C56" i="14"/>
  <c r="C57" i="14"/>
  <c r="D25" i="16"/>
  <c r="C51" i="14"/>
  <c r="C52" i="14"/>
  <c r="C46" i="14"/>
  <c r="C47" i="14"/>
  <c r="C41" i="14"/>
  <c r="C42" i="14"/>
  <c r="C36" i="14"/>
  <c r="C37" i="14"/>
  <c r="C31" i="14"/>
  <c r="C32" i="14"/>
  <c r="C26" i="14"/>
  <c r="C27" i="14"/>
  <c r="C21" i="14"/>
  <c r="C22" i="14"/>
  <c r="C16" i="14"/>
  <c r="C17" i="14"/>
  <c r="C11" i="14"/>
  <c r="C12" i="14"/>
  <c r="C6" i="14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K267" i="10"/>
  <c r="M266" i="10"/>
  <c r="I266" i="10"/>
  <c r="H266" i="10"/>
  <c r="K263" i="10"/>
  <c r="M263" i="10"/>
  <c r="H263" i="10"/>
  <c r="G263" i="10"/>
  <c r="M262" i="10"/>
  <c r="M261" i="10"/>
  <c r="K260" i="10"/>
  <c r="M260" i="10"/>
  <c r="H260" i="10"/>
  <c r="G260" i="10"/>
  <c r="M259" i="10"/>
  <c r="M258" i="10"/>
  <c r="K257" i="10"/>
  <c r="M257" i="10"/>
  <c r="H257" i="10"/>
  <c r="G257" i="10"/>
  <c r="I257" i="10"/>
  <c r="M256" i="10"/>
  <c r="M255" i="10"/>
  <c r="K254" i="10"/>
  <c r="M254" i="10"/>
  <c r="H254" i="10"/>
  <c r="G254" i="10"/>
  <c r="I254" i="10"/>
  <c r="M253" i="10"/>
  <c r="M252" i="10"/>
  <c r="K251" i="10"/>
  <c r="M251" i="10"/>
  <c r="H251" i="10"/>
  <c r="G251" i="10"/>
  <c r="M250" i="10"/>
  <c r="M249" i="10"/>
  <c r="M248" i="10"/>
  <c r="K248" i="10"/>
  <c r="H248" i="10"/>
  <c r="G248" i="10"/>
  <c r="I248" i="10"/>
  <c r="M247" i="10"/>
  <c r="M246" i="10"/>
  <c r="I246" i="10"/>
  <c r="K245" i="10"/>
  <c r="M245" i="10"/>
  <c r="H245" i="10"/>
  <c r="G245" i="10"/>
  <c r="K233" i="10"/>
  <c r="M232" i="10"/>
  <c r="I232" i="10"/>
  <c r="H232" i="10"/>
  <c r="M229" i="10"/>
  <c r="K229" i="10"/>
  <c r="H229" i="10"/>
  <c r="G229" i="10"/>
  <c r="M228" i="10"/>
  <c r="M227" i="10"/>
  <c r="K226" i="10"/>
  <c r="M226" i="10"/>
  <c r="H226" i="10"/>
  <c r="G226" i="10"/>
  <c r="M225" i="10"/>
  <c r="M224" i="10"/>
  <c r="K223" i="10"/>
  <c r="M223" i="10"/>
  <c r="H223" i="10"/>
  <c r="G223" i="10"/>
  <c r="I223" i="10"/>
  <c r="M222" i="10"/>
  <c r="M221" i="10"/>
  <c r="K220" i="10"/>
  <c r="M220" i="10"/>
  <c r="H220" i="10"/>
  <c r="G220" i="10"/>
  <c r="I220" i="10"/>
  <c r="M219" i="10"/>
  <c r="M218" i="10"/>
  <c r="K217" i="10"/>
  <c r="M217" i="10"/>
  <c r="H217" i="10"/>
  <c r="G217" i="10"/>
  <c r="M216" i="10"/>
  <c r="M215" i="10"/>
  <c r="K214" i="10"/>
  <c r="M214" i="10"/>
  <c r="H214" i="10"/>
  <c r="G214" i="10"/>
  <c r="I214" i="10"/>
  <c r="M213" i="10"/>
  <c r="M212" i="10"/>
  <c r="I212" i="10"/>
  <c r="M211" i="10"/>
  <c r="K211" i="10"/>
  <c r="H211" i="10"/>
  <c r="G211" i="10"/>
  <c r="I211" i="10"/>
  <c r="K199" i="10"/>
  <c r="M198" i="10"/>
  <c r="I198" i="10"/>
  <c r="H198" i="10"/>
  <c r="K195" i="10"/>
  <c r="M195" i="10"/>
  <c r="H195" i="10"/>
  <c r="G195" i="10"/>
  <c r="M194" i="10"/>
  <c r="M193" i="10"/>
  <c r="K192" i="10"/>
  <c r="M192" i="10"/>
  <c r="H192" i="10"/>
  <c r="I192" i="10"/>
  <c r="G192" i="10"/>
  <c r="M191" i="10"/>
  <c r="M190" i="10"/>
  <c r="K189" i="10"/>
  <c r="M189" i="10"/>
  <c r="H189" i="10"/>
  <c r="G189" i="10"/>
  <c r="I189" i="10"/>
  <c r="M188" i="10"/>
  <c r="M187" i="10"/>
  <c r="K186" i="10"/>
  <c r="M186" i="10"/>
  <c r="H186" i="10"/>
  <c r="G186" i="10"/>
  <c r="M185" i="10"/>
  <c r="M184" i="10"/>
  <c r="K183" i="10"/>
  <c r="M183" i="10"/>
  <c r="H183" i="10"/>
  <c r="I183" i="10"/>
  <c r="G183" i="10"/>
  <c r="M182" i="10"/>
  <c r="M181" i="10"/>
  <c r="K180" i="10"/>
  <c r="M180" i="10"/>
  <c r="H180" i="10"/>
  <c r="G180" i="10"/>
  <c r="I180" i="10"/>
  <c r="M179" i="10"/>
  <c r="M178" i="10"/>
  <c r="I178" i="10"/>
  <c r="K177" i="10"/>
  <c r="M177" i="10"/>
  <c r="H177" i="10"/>
  <c r="G177" i="10"/>
  <c r="I177" i="10"/>
  <c r="K165" i="10"/>
  <c r="M164" i="10"/>
  <c r="I164" i="10"/>
  <c r="H164" i="10"/>
  <c r="K161" i="10"/>
  <c r="M161" i="10"/>
  <c r="H161" i="10"/>
  <c r="I161" i="10"/>
  <c r="G161" i="10"/>
  <c r="M160" i="10"/>
  <c r="M159" i="10"/>
  <c r="K158" i="10"/>
  <c r="M158" i="10"/>
  <c r="H158" i="10"/>
  <c r="G158" i="10"/>
  <c r="I158" i="10"/>
  <c r="M157" i="10"/>
  <c r="M156" i="10"/>
  <c r="K155" i="10"/>
  <c r="M155" i="10"/>
  <c r="H155" i="10"/>
  <c r="G155" i="10"/>
  <c r="I155" i="10"/>
  <c r="M154" i="10"/>
  <c r="M153" i="10"/>
  <c r="K152" i="10"/>
  <c r="M152" i="10"/>
  <c r="H152" i="10"/>
  <c r="G152" i="10"/>
  <c r="M151" i="10"/>
  <c r="M150" i="10"/>
  <c r="K149" i="10"/>
  <c r="M149" i="10"/>
  <c r="H149" i="10"/>
  <c r="G149" i="10"/>
  <c r="I149" i="10"/>
  <c r="M148" i="10"/>
  <c r="M147" i="10"/>
  <c r="K146" i="10"/>
  <c r="M146" i="10"/>
  <c r="H146" i="10"/>
  <c r="G146" i="10"/>
  <c r="I146" i="10"/>
  <c r="M145" i="10"/>
  <c r="M144" i="10"/>
  <c r="I144" i="10"/>
  <c r="M143" i="10"/>
  <c r="K143" i="10"/>
  <c r="H143" i="10"/>
  <c r="I143" i="10"/>
  <c r="G143" i="10"/>
  <c r="K131" i="10"/>
  <c r="M130" i="10"/>
  <c r="I130" i="10"/>
  <c r="H130" i="10"/>
  <c r="K127" i="10"/>
  <c r="M127" i="10"/>
  <c r="H127" i="10"/>
  <c r="I127" i="10"/>
  <c r="G127" i="10"/>
  <c r="M126" i="10"/>
  <c r="M125" i="10"/>
  <c r="K124" i="10"/>
  <c r="M124" i="10"/>
  <c r="H124" i="10"/>
  <c r="G124" i="10"/>
  <c r="I124" i="10"/>
  <c r="M123" i="10"/>
  <c r="M122" i="10"/>
  <c r="K121" i="10"/>
  <c r="M121" i="10"/>
  <c r="H121" i="10"/>
  <c r="G121" i="10"/>
  <c r="I121" i="10"/>
  <c r="M120" i="10"/>
  <c r="M119" i="10"/>
  <c r="K118" i="10"/>
  <c r="M118" i="10"/>
  <c r="H118" i="10"/>
  <c r="G118" i="10"/>
  <c r="I118" i="10"/>
  <c r="M117" i="10"/>
  <c r="M116" i="10"/>
  <c r="M115" i="10"/>
  <c r="K115" i="10"/>
  <c r="H115" i="10"/>
  <c r="G115" i="10"/>
  <c r="I115" i="10"/>
  <c r="M114" i="10"/>
  <c r="M113" i="10"/>
  <c r="K112" i="10"/>
  <c r="M112" i="10"/>
  <c r="H112" i="10"/>
  <c r="G112" i="10"/>
  <c r="I112" i="10"/>
  <c r="M111" i="10"/>
  <c r="M110" i="10"/>
  <c r="I110" i="10"/>
  <c r="K109" i="10"/>
  <c r="M109" i="10"/>
  <c r="H109" i="10"/>
  <c r="G109" i="10"/>
  <c r="I109" i="10"/>
  <c r="K97" i="10"/>
  <c r="M96" i="10"/>
  <c r="I96" i="10"/>
  <c r="H96" i="10"/>
  <c r="K93" i="10"/>
  <c r="M93" i="10"/>
  <c r="H93" i="10"/>
  <c r="G93" i="10"/>
  <c r="M92" i="10"/>
  <c r="M91" i="10"/>
  <c r="K90" i="10"/>
  <c r="M90" i="10"/>
  <c r="H90" i="10"/>
  <c r="G90" i="10"/>
  <c r="I90" i="10"/>
  <c r="M89" i="10"/>
  <c r="M88" i="10"/>
  <c r="K87" i="10"/>
  <c r="M87" i="10"/>
  <c r="H87" i="10"/>
  <c r="G87" i="10"/>
  <c r="I87" i="10"/>
  <c r="M86" i="10"/>
  <c r="M85" i="10"/>
  <c r="K84" i="10"/>
  <c r="M84" i="10"/>
  <c r="H84" i="10"/>
  <c r="G84" i="10"/>
  <c r="M83" i="10"/>
  <c r="M82" i="10"/>
  <c r="K81" i="10"/>
  <c r="M81" i="10"/>
  <c r="H81" i="10"/>
  <c r="G81" i="10"/>
  <c r="I81" i="10"/>
  <c r="M80" i="10"/>
  <c r="M79" i="10"/>
  <c r="K78" i="10"/>
  <c r="M78" i="10"/>
  <c r="H78" i="10"/>
  <c r="G78" i="10"/>
  <c r="I78" i="10"/>
  <c r="M77" i="10"/>
  <c r="M76" i="10"/>
  <c r="I76" i="10"/>
  <c r="K75" i="10"/>
  <c r="M75" i="10"/>
  <c r="H75" i="10"/>
  <c r="G75" i="10"/>
  <c r="I75" i="10"/>
  <c r="K63" i="10"/>
  <c r="M62" i="10"/>
  <c r="I62" i="10"/>
  <c r="H62" i="10"/>
  <c r="K59" i="10"/>
  <c r="M59" i="10"/>
  <c r="H59" i="10"/>
  <c r="G59" i="10"/>
  <c r="M58" i="10"/>
  <c r="M57" i="10"/>
  <c r="K56" i="10"/>
  <c r="M56" i="10"/>
  <c r="H56" i="10"/>
  <c r="G56" i="10"/>
  <c r="I56" i="10"/>
  <c r="M55" i="10"/>
  <c r="M54" i="10"/>
  <c r="K53" i="10"/>
  <c r="M53" i="10"/>
  <c r="H53" i="10"/>
  <c r="G53" i="10"/>
  <c r="I53" i="10"/>
  <c r="M52" i="10"/>
  <c r="M51" i="10"/>
  <c r="K50" i="10"/>
  <c r="M50" i="10"/>
  <c r="H50" i="10"/>
  <c r="G50" i="10"/>
  <c r="M49" i="10"/>
  <c r="M48" i="10"/>
  <c r="K47" i="10"/>
  <c r="M47" i="10"/>
  <c r="H47" i="10"/>
  <c r="I47" i="10"/>
  <c r="G47" i="10"/>
  <c r="M46" i="10"/>
  <c r="M45" i="10"/>
  <c r="K44" i="10"/>
  <c r="M44" i="10"/>
  <c r="H44" i="10"/>
  <c r="G44" i="10"/>
  <c r="I44" i="10"/>
  <c r="M43" i="10"/>
  <c r="M42" i="10"/>
  <c r="I42" i="10"/>
  <c r="M41" i="10"/>
  <c r="K41" i="10"/>
  <c r="H41" i="10"/>
  <c r="G41" i="10"/>
  <c r="G25" i="10"/>
  <c r="H25" i="10"/>
  <c r="H22" i="10"/>
  <c r="H19" i="10"/>
  <c r="H16" i="10"/>
  <c r="H13" i="10"/>
  <c r="H10" i="10"/>
  <c r="H28" i="10"/>
  <c r="H7" i="10"/>
  <c r="K29" i="10"/>
  <c r="M28" i="10"/>
  <c r="I28" i="10"/>
  <c r="K25" i="10"/>
  <c r="M25" i="10"/>
  <c r="M24" i="10"/>
  <c r="M23" i="10"/>
  <c r="K22" i="10"/>
  <c r="M22" i="10"/>
  <c r="G22" i="10"/>
  <c r="M21" i="10"/>
  <c r="M20" i="10"/>
  <c r="K19" i="10"/>
  <c r="M19" i="10"/>
  <c r="G19" i="10"/>
  <c r="M18" i="10"/>
  <c r="M17" i="10"/>
  <c r="K16" i="10"/>
  <c r="M16" i="10"/>
  <c r="G16" i="10"/>
  <c r="M15" i="10"/>
  <c r="M14" i="10"/>
  <c r="K13" i="10"/>
  <c r="M13" i="10"/>
  <c r="G13" i="10"/>
  <c r="M12" i="10"/>
  <c r="M11" i="10"/>
  <c r="K10" i="10"/>
  <c r="M10" i="10"/>
  <c r="G10" i="10"/>
  <c r="M9" i="10"/>
  <c r="M8" i="10"/>
  <c r="I8" i="10"/>
  <c r="K7" i="10"/>
  <c r="M7" i="10"/>
  <c r="G7" i="10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55" i="9"/>
  <c r="H25" i="9"/>
  <c r="H26" i="9"/>
  <c r="H14" i="9"/>
  <c r="H15" i="9"/>
  <c r="H16" i="9"/>
  <c r="H17" i="9"/>
  <c r="H18" i="9"/>
  <c r="H19" i="9"/>
  <c r="H20" i="9"/>
  <c r="H21" i="9"/>
  <c r="H22" i="9"/>
  <c r="H23" i="9"/>
  <c r="H24" i="9"/>
  <c r="H13" i="9"/>
  <c r="H44" i="9"/>
  <c r="H45" i="9"/>
  <c r="H46" i="9"/>
  <c r="H47" i="9"/>
  <c r="H48" i="9"/>
  <c r="H49" i="9"/>
  <c r="H50" i="9"/>
  <c r="I50" i="10"/>
  <c r="B108" i="4"/>
  <c r="C33" i="13"/>
  <c r="D24" i="16"/>
  <c r="B107" i="4"/>
  <c r="C32" i="13"/>
  <c r="D23" i="16"/>
  <c r="B106" i="4"/>
  <c r="C31" i="13"/>
  <c r="D22" i="16"/>
  <c r="B105" i="4"/>
  <c r="C30" i="13"/>
  <c r="D21" i="16"/>
  <c r="B104" i="4"/>
  <c r="C29" i="13"/>
  <c r="D20" i="16"/>
  <c r="B103" i="4"/>
  <c r="C28" i="13"/>
  <c r="D19" i="16"/>
  <c r="B102" i="4"/>
  <c r="C27" i="13"/>
  <c r="D18" i="16"/>
  <c r="B101" i="4"/>
  <c r="C26" i="13"/>
  <c r="D17" i="16"/>
  <c r="B100" i="4"/>
  <c r="C25" i="13"/>
  <c r="D16" i="16"/>
  <c r="C7" i="14"/>
  <c r="D15" i="16"/>
  <c r="E125" i="4"/>
  <c r="I10" i="10"/>
  <c r="H71" i="9"/>
  <c r="I263" i="10"/>
  <c r="I245" i="10"/>
  <c r="I251" i="10"/>
  <c r="I268" i="10"/>
  <c r="B268" i="10"/>
  <c r="F68" i="4"/>
  <c r="I260" i="10"/>
  <c r="I226" i="10"/>
  <c r="I217" i="10"/>
  <c r="I229" i="10"/>
  <c r="I234" i="10"/>
  <c r="B234" i="10"/>
  <c r="F67" i="4"/>
  <c r="I195" i="10"/>
  <c r="I186" i="10"/>
  <c r="I200" i="10"/>
  <c r="B200" i="10"/>
  <c r="F66" i="4"/>
  <c r="I152" i="10"/>
  <c r="I84" i="10"/>
  <c r="I93" i="10"/>
  <c r="I59" i="10"/>
  <c r="I41" i="10"/>
  <c r="F327" i="11"/>
  <c r="M268" i="10"/>
  <c r="B271" i="10"/>
  <c r="G68" i="4"/>
  <c r="M234" i="10"/>
  <c r="B237" i="10"/>
  <c r="G67" i="4"/>
  <c r="M200" i="10"/>
  <c r="B203" i="10"/>
  <c r="G66" i="4"/>
  <c r="I166" i="10"/>
  <c r="B166" i="10"/>
  <c r="F65" i="4"/>
  <c r="M166" i="10"/>
  <c r="B169" i="10"/>
  <c r="G65" i="4"/>
  <c r="I132" i="10"/>
  <c r="B132" i="10"/>
  <c r="F64" i="4"/>
  <c r="M132" i="10"/>
  <c r="B135" i="10"/>
  <c r="G64" i="4"/>
  <c r="I98" i="10"/>
  <c r="B98" i="10"/>
  <c r="F63" i="4"/>
  <c r="M98" i="10"/>
  <c r="B101" i="10"/>
  <c r="G63" i="4"/>
  <c r="M64" i="10"/>
  <c r="I19" i="10"/>
  <c r="I25" i="10"/>
  <c r="I7" i="10"/>
  <c r="I13" i="10"/>
  <c r="I22" i="10"/>
  <c r="I16" i="10"/>
  <c r="M30" i="10"/>
  <c r="B33" i="10"/>
  <c r="G61" i="4"/>
  <c r="H27" i="9"/>
  <c r="H51" i="9"/>
  <c r="I64" i="10"/>
  <c r="B64" i="10"/>
  <c r="F62" i="4"/>
  <c r="B67" i="10"/>
  <c r="G62" i="4"/>
  <c r="G70" i="4"/>
  <c r="G72" i="4"/>
  <c r="G74" i="4"/>
  <c r="B99" i="4"/>
  <c r="D14" i="16"/>
  <c r="C38" i="9"/>
  <c r="B19" i="4"/>
  <c r="B21" i="4"/>
  <c r="B23" i="4"/>
  <c r="B25" i="4"/>
  <c r="E9" i="16"/>
  <c r="I30" i="10"/>
  <c r="B30" i="10"/>
  <c r="F61" i="4"/>
  <c r="F70" i="4"/>
  <c r="F72" i="4"/>
  <c r="F74" i="4"/>
  <c r="J7" i="16"/>
  <c r="K7" i="16"/>
  <c r="L7" i="16"/>
  <c r="D30" i="16"/>
  <c r="C24" i="13"/>
  <c r="C39" i="13"/>
  <c r="B115" i="4"/>
  <c r="G76" i="4"/>
  <c r="C7" i="9"/>
  <c r="C18" i="4"/>
  <c r="C33" i="9"/>
  <c r="C36" i="9"/>
  <c r="C19" i="4"/>
  <c r="C37" i="8"/>
  <c r="C8" i="4"/>
  <c r="L273" i="7"/>
  <c r="N272" i="7"/>
  <c r="J272" i="7"/>
  <c r="I272" i="7"/>
  <c r="L269" i="7"/>
  <c r="N269" i="7"/>
  <c r="I269" i="7"/>
  <c r="J269" i="7"/>
  <c r="N268" i="7"/>
  <c r="N267" i="7"/>
  <c r="L266" i="7"/>
  <c r="N266" i="7"/>
  <c r="I266" i="7"/>
  <c r="H266" i="7"/>
  <c r="N265" i="7"/>
  <c r="N264" i="7"/>
  <c r="L263" i="7"/>
  <c r="N263" i="7"/>
  <c r="I263" i="7"/>
  <c r="H263" i="7"/>
  <c r="N262" i="7"/>
  <c r="N261" i="7"/>
  <c r="L260" i="7"/>
  <c r="N260" i="7"/>
  <c r="I260" i="7"/>
  <c r="H260" i="7"/>
  <c r="N259" i="7"/>
  <c r="N258" i="7"/>
  <c r="L257" i="7"/>
  <c r="N257" i="7"/>
  <c r="I257" i="7"/>
  <c r="H257" i="7"/>
  <c r="N256" i="7"/>
  <c r="N255" i="7"/>
  <c r="L254" i="7"/>
  <c r="N254" i="7"/>
  <c r="I254" i="7"/>
  <c r="H254" i="7"/>
  <c r="N253" i="7"/>
  <c r="N252" i="7"/>
  <c r="J252" i="7"/>
  <c r="L251" i="7"/>
  <c r="N251" i="7"/>
  <c r="I251" i="7"/>
  <c r="H251" i="7"/>
  <c r="L238" i="7"/>
  <c r="N237" i="7"/>
  <c r="J237" i="7"/>
  <c r="I237" i="7"/>
  <c r="L234" i="7"/>
  <c r="N234" i="7"/>
  <c r="I234" i="7"/>
  <c r="J234" i="7"/>
  <c r="N233" i="7"/>
  <c r="N232" i="7"/>
  <c r="L231" i="7"/>
  <c r="N231" i="7"/>
  <c r="I231" i="7"/>
  <c r="H231" i="7"/>
  <c r="N230" i="7"/>
  <c r="N229" i="7"/>
  <c r="L228" i="7"/>
  <c r="N228" i="7"/>
  <c r="I228" i="7"/>
  <c r="H228" i="7"/>
  <c r="N227" i="7"/>
  <c r="N226" i="7"/>
  <c r="L225" i="7"/>
  <c r="N225" i="7"/>
  <c r="I225" i="7"/>
  <c r="H225" i="7"/>
  <c r="N224" i="7"/>
  <c r="N223" i="7"/>
  <c r="L222" i="7"/>
  <c r="N222" i="7"/>
  <c r="I222" i="7"/>
  <c r="H222" i="7"/>
  <c r="N221" i="7"/>
  <c r="N220" i="7"/>
  <c r="L219" i="7"/>
  <c r="N219" i="7"/>
  <c r="I219" i="7"/>
  <c r="H219" i="7"/>
  <c r="N218" i="7"/>
  <c r="N217" i="7"/>
  <c r="J217" i="7"/>
  <c r="L216" i="7"/>
  <c r="N216" i="7"/>
  <c r="I216" i="7"/>
  <c r="H216" i="7"/>
  <c r="L203" i="7"/>
  <c r="N202" i="7"/>
  <c r="J202" i="7"/>
  <c r="I202" i="7"/>
  <c r="L199" i="7"/>
  <c r="N199" i="7"/>
  <c r="I199" i="7"/>
  <c r="J199" i="7"/>
  <c r="N198" i="7"/>
  <c r="N197" i="7"/>
  <c r="L196" i="7"/>
  <c r="N196" i="7"/>
  <c r="I196" i="7"/>
  <c r="H196" i="7"/>
  <c r="N195" i="7"/>
  <c r="N194" i="7"/>
  <c r="L193" i="7"/>
  <c r="N193" i="7"/>
  <c r="I193" i="7"/>
  <c r="H193" i="7"/>
  <c r="J193" i="7"/>
  <c r="N192" i="7"/>
  <c r="N191" i="7"/>
  <c r="L190" i="7"/>
  <c r="N190" i="7"/>
  <c r="I190" i="7"/>
  <c r="H190" i="7"/>
  <c r="N189" i="7"/>
  <c r="N188" i="7"/>
  <c r="L187" i="7"/>
  <c r="N187" i="7"/>
  <c r="I187" i="7"/>
  <c r="H187" i="7"/>
  <c r="N186" i="7"/>
  <c r="N185" i="7"/>
  <c r="L184" i="7"/>
  <c r="N184" i="7"/>
  <c r="I184" i="7"/>
  <c r="H184" i="7"/>
  <c r="N183" i="7"/>
  <c r="N182" i="7"/>
  <c r="J182" i="7"/>
  <c r="L181" i="7"/>
  <c r="N181" i="7"/>
  <c r="I181" i="7"/>
  <c r="H181" i="7"/>
  <c r="L168" i="7"/>
  <c r="N167" i="7"/>
  <c r="J167" i="7"/>
  <c r="I167" i="7"/>
  <c r="L164" i="7"/>
  <c r="N164" i="7"/>
  <c r="I164" i="7"/>
  <c r="J164" i="7"/>
  <c r="N163" i="7"/>
  <c r="N162" i="7"/>
  <c r="L161" i="7"/>
  <c r="N161" i="7"/>
  <c r="I161" i="7"/>
  <c r="H161" i="7"/>
  <c r="N160" i="7"/>
  <c r="N159" i="7"/>
  <c r="L158" i="7"/>
  <c r="N158" i="7"/>
  <c r="I158" i="7"/>
  <c r="H158" i="7"/>
  <c r="N157" i="7"/>
  <c r="N156" i="7"/>
  <c r="L155" i="7"/>
  <c r="N155" i="7"/>
  <c r="I155" i="7"/>
  <c r="H155" i="7"/>
  <c r="N154" i="7"/>
  <c r="N153" i="7"/>
  <c r="L152" i="7"/>
  <c r="N152" i="7"/>
  <c r="I152" i="7"/>
  <c r="H152" i="7"/>
  <c r="N151" i="7"/>
  <c r="N150" i="7"/>
  <c r="L149" i="7"/>
  <c r="N149" i="7"/>
  <c r="I149" i="7"/>
  <c r="H149" i="7"/>
  <c r="N148" i="7"/>
  <c r="N147" i="7"/>
  <c r="J147" i="7"/>
  <c r="L146" i="7"/>
  <c r="N146" i="7"/>
  <c r="I146" i="7"/>
  <c r="H146" i="7"/>
  <c r="L133" i="7"/>
  <c r="N132" i="7"/>
  <c r="J132" i="7"/>
  <c r="I132" i="7"/>
  <c r="L129" i="7"/>
  <c r="N129" i="7"/>
  <c r="I129" i="7"/>
  <c r="J129" i="7"/>
  <c r="N128" i="7"/>
  <c r="N127" i="7"/>
  <c r="L126" i="7"/>
  <c r="N126" i="7"/>
  <c r="I126" i="7"/>
  <c r="H126" i="7"/>
  <c r="N125" i="7"/>
  <c r="N124" i="7"/>
  <c r="L123" i="7"/>
  <c r="N123" i="7"/>
  <c r="I123" i="7"/>
  <c r="H123" i="7"/>
  <c r="N122" i="7"/>
  <c r="N121" i="7"/>
  <c r="L120" i="7"/>
  <c r="N120" i="7"/>
  <c r="I120" i="7"/>
  <c r="H120" i="7"/>
  <c r="N119" i="7"/>
  <c r="N118" i="7"/>
  <c r="L117" i="7"/>
  <c r="N117" i="7"/>
  <c r="I117" i="7"/>
  <c r="H117" i="7"/>
  <c r="N116" i="7"/>
  <c r="N115" i="7"/>
  <c r="L114" i="7"/>
  <c r="N114" i="7"/>
  <c r="I114" i="7"/>
  <c r="H114" i="7"/>
  <c r="N113" i="7"/>
  <c r="N112" i="7"/>
  <c r="J112" i="7"/>
  <c r="L111" i="7"/>
  <c r="N111" i="7"/>
  <c r="I111" i="7"/>
  <c r="H111" i="7"/>
  <c r="J111" i="7"/>
  <c r="L98" i="7"/>
  <c r="N97" i="7"/>
  <c r="J97" i="7"/>
  <c r="I97" i="7"/>
  <c r="L94" i="7"/>
  <c r="N94" i="7"/>
  <c r="I94" i="7"/>
  <c r="J94" i="7"/>
  <c r="N93" i="7"/>
  <c r="N92" i="7"/>
  <c r="L91" i="7"/>
  <c r="N91" i="7"/>
  <c r="I91" i="7"/>
  <c r="H91" i="7"/>
  <c r="N90" i="7"/>
  <c r="N89" i="7"/>
  <c r="L88" i="7"/>
  <c r="N88" i="7"/>
  <c r="I88" i="7"/>
  <c r="H88" i="7"/>
  <c r="N87" i="7"/>
  <c r="N86" i="7"/>
  <c r="L85" i="7"/>
  <c r="N85" i="7"/>
  <c r="I85" i="7"/>
  <c r="H85" i="7"/>
  <c r="N84" i="7"/>
  <c r="N83" i="7"/>
  <c r="L82" i="7"/>
  <c r="N82" i="7"/>
  <c r="I82" i="7"/>
  <c r="H82" i="7"/>
  <c r="N81" i="7"/>
  <c r="N80" i="7"/>
  <c r="L79" i="7"/>
  <c r="N79" i="7"/>
  <c r="I79" i="7"/>
  <c r="H79" i="7"/>
  <c r="N78" i="7"/>
  <c r="N77" i="7"/>
  <c r="J77" i="7"/>
  <c r="L76" i="7"/>
  <c r="N76" i="7"/>
  <c r="I76" i="7"/>
  <c r="H76" i="7"/>
  <c r="L63" i="7"/>
  <c r="N62" i="7"/>
  <c r="J62" i="7"/>
  <c r="I62" i="7"/>
  <c r="L59" i="7"/>
  <c r="N59" i="7"/>
  <c r="I59" i="7"/>
  <c r="J59" i="7"/>
  <c r="N58" i="7"/>
  <c r="N57" i="7"/>
  <c r="L56" i="7"/>
  <c r="N56" i="7"/>
  <c r="I56" i="7"/>
  <c r="H56" i="7"/>
  <c r="J56" i="7"/>
  <c r="N55" i="7"/>
  <c r="N54" i="7"/>
  <c r="L53" i="7"/>
  <c r="N53" i="7"/>
  <c r="I53" i="7"/>
  <c r="H53" i="7"/>
  <c r="N52" i="7"/>
  <c r="N51" i="7"/>
  <c r="L50" i="7"/>
  <c r="N50" i="7"/>
  <c r="I50" i="7"/>
  <c r="H50" i="7"/>
  <c r="N49" i="7"/>
  <c r="N48" i="7"/>
  <c r="L47" i="7"/>
  <c r="N47" i="7"/>
  <c r="I47" i="7"/>
  <c r="H47" i="7"/>
  <c r="N46" i="7"/>
  <c r="N45" i="7"/>
  <c r="L44" i="7"/>
  <c r="N44" i="7"/>
  <c r="I44" i="7"/>
  <c r="H44" i="7"/>
  <c r="N43" i="7"/>
  <c r="N42" i="7"/>
  <c r="J42" i="7"/>
  <c r="L41" i="7"/>
  <c r="N41" i="7"/>
  <c r="I41" i="7"/>
  <c r="H41" i="7"/>
  <c r="L28" i="7"/>
  <c r="N27" i="7"/>
  <c r="J27" i="7"/>
  <c r="I27" i="7"/>
  <c r="L24" i="7"/>
  <c r="N24" i="7"/>
  <c r="I24" i="7"/>
  <c r="J24" i="7"/>
  <c r="N23" i="7"/>
  <c r="N22" i="7"/>
  <c r="L21" i="7"/>
  <c r="N21" i="7"/>
  <c r="I21" i="7"/>
  <c r="H21" i="7"/>
  <c r="N20" i="7"/>
  <c r="N19" i="7"/>
  <c r="L18" i="7"/>
  <c r="N18" i="7"/>
  <c r="I18" i="7"/>
  <c r="H18" i="7"/>
  <c r="N17" i="7"/>
  <c r="N16" i="7"/>
  <c r="L15" i="7"/>
  <c r="N15" i="7"/>
  <c r="I15" i="7"/>
  <c r="H15" i="7"/>
  <c r="N14" i="7"/>
  <c r="N13" i="7"/>
  <c r="L12" i="7"/>
  <c r="N12" i="7"/>
  <c r="I12" i="7"/>
  <c r="H12" i="7"/>
  <c r="N11" i="7"/>
  <c r="N10" i="7"/>
  <c r="L9" i="7"/>
  <c r="N9" i="7"/>
  <c r="I9" i="7"/>
  <c r="H9" i="7"/>
  <c r="N8" i="7"/>
  <c r="N7" i="7"/>
  <c r="J7" i="7"/>
  <c r="L6" i="7"/>
  <c r="N6" i="7"/>
  <c r="I6" i="7"/>
  <c r="H6" i="7"/>
  <c r="M233" i="6"/>
  <c r="I233" i="6"/>
  <c r="M232" i="6"/>
  <c r="M231" i="6"/>
  <c r="M230" i="6"/>
  <c r="H230" i="6"/>
  <c r="G230" i="6"/>
  <c r="I230" i="6"/>
  <c r="M229" i="6"/>
  <c r="M228" i="6"/>
  <c r="K227" i="6"/>
  <c r="M227" i="6"/>
  <c r="G227" i="6"/>
  <c r="I227" i="6"/>
  <c r="K226" i="6"/>
  <c r="M226" i="6"/>
  <c r="G226" i="6"/>
  <c r="I226" i="6"/>
  <c r="M225" i="6"/>
  <c r="M224" i="6"/>
  <c r="H224" i="6"/>
  <c r="G224" i="6"/>
  <c r="K223" i="6"/>
  <c r="M223" i="6"/>
  <c r="G223" i="6"/>
  <c r="I223" i="6"/>
  <c r="M222" i="6"/>
  <c r="M221" i="6"/>
  <c r="H221" i="6"/>
  <c r="G221" i="6"/>
  <c r="K220" i="6"/>
  <c r="M220" i="6"/>
  <c r="G220" i="6"/>
  <c r="I220" i="6"/>
  <c r="M219" i="6"/>
  <c r="M218" i="6"/>
  <c r="G218" i="6"/>
  <c r="I218" i="6"/>
  <c r="K217" i="6"/>
  <c r="M217" i="6"/>
  <c r="H217" i="6"/>
  <c r="G217" i="6"/>
  <c r="M203" i="6"/>
  <c r="I203" i="6"/>
  <c r="M202" i="6"/>
  <c r="M201" i="6"/>
  <c r="M200" i="6"/>
  <c r="H200" i="6"/>
  <c r="G200" i="6"/>
  <c r="M199" i="6"/>
  <c r="M198" i="6"/>
  <c r="K197" i="6"/>
  <c r="M197" i="6"/>
  <c r="G197" i="6"/>
  <c r="I197" i="6"/>
  <c r="K196" i="6"/>
  <c r="M196" i="6"/>
  <c r="G196" i="6"/>
  <c r="I196" i="6"/>
  <c r="M195" i="6"/>
  <c r="M194" i="6"/>
  <c r="H194" i="6"/>
  <c r="I194" i="6"/>
  <c r="G194" i="6"/>
  <c r="K193" i="6"/>
  <c r="M193" i="6"/>
  <c r="G193" i="6"/>
  <c r="I193" i="6"/>
  <c r="M192" i="6"/>
  <c r="M191" i="6"/>
  <c r="H191" i="6"/>
  <c r="G191" i="6"/>
  <c r="K190" i="6"/>
  <c r="M190" i="6"/>
  <c r="G190" i="6"/>
  <c r="I190" i="6"/>
  <c r="M189" i="6"/>
  <c r="M188" i="6"/>
  <c r="G188" i="6"/>
  <c r="I188" i="6"/>
  <c r="K187" i="6"/>
  <c r="M187" i="6"/>
  <c r="I187" i="6"/>
  <c r="H187" i="6"/>
  <c r="G187" i="6"/>
  <c r="M173" i="6"/>
  <c r="I173" i="6"/>
  <c r="M172" i="6"/>
  <c r="M171" i="6"/>
  <c r="M170" i="6"/>
  <c r="H170" i="6"/>
  <c r="G170" i="6"/>
  <c r="I170" i="6"/>
  <c r="M169" i="6"/>
  <c r="M168" i="6"/>
  <c r="K167" i="6"/>
  <c r="M167" i="6"/>
  <c r="G167" i="6"/>
  <c r="I167" i="6"/>
  <c r="K166" i="6"/>
  <c r="M166" i="6"/>
  <c r="G166" i="6"/>
  <c r="I166" i="6"/>
  <c r="M165" i="6"/>
  <c r="M164" i="6"/>
  <c r="H164" i="6"/>
  <c r="G164" i="6"/>
  <c r="I164" i="6"/>
  <c r="K163" i="6"/>
  <c r="M163" i="6"/>
  <c r="G163" i="6"/>
  <c r="I163" i="6"/>
  <c r="M162" i="6"/>
  <c r="M161" i="6"/>
  <c r="H161" i="6"/>
  <c r="G161" i="6"/>
  <c r="M160" i="6"/>
  <c r="K160" i="6"/>
  <c r="G160" i="6"/>
  <c r="I160" i="6"/>
  <c r="M159" i="6"/>
  <c r="M158" i="6"/>
  <c r="G158" i="6"/>
  <c r="I158" i="6"/>
  <c r="K157" i="6"/>
  <c r="M157" i="6"/>
  <c r="I157" i="6"/>
  <c r="H157" i="6"/>
  <c r="G157" i="6"/>
  <c r="M143" i="6"/>
  <c r="I143" i="6"/>
  <c r="M142" i="6"/>
  <c r="M141" i="6"/>
  <c r="M140" i="6"/>
  <c r="H140" i="6"/>
  <c r="G140" i="6"/>
  <c r="I140" i="6"/>
  <c r="M139" i="6"/>
  <c r="M138" i="6"/>
  <c r="K137" i="6"/>
  <c r="M137" i="6"/>
  <c r="G137" i="6"/>
  <c r="I137" i="6"/>
  <c r="K136" i="6"/>
  <c r="M136" i="6"/>
  <c r="I136" i="6"/>
  <c r="G136" i="6"/>
  <c r="M135" i="6"/>
  <c r="M134" i="6"/>
  <c r="H134" i="6"/>
  <c r="G134" i="6"/>
  <c r="I134" i="6"/>
  <c r="K133" i="6"/>
  <c r="M133" i="6"/>
  <c r="G133" i="6"/>
  <c r="I133" i="6"/>
  <c r="M132" i="6"/>
  <c r="M131" i="6"/>
  <c r="H131" i="6"/>
  <c r="I131" i="6"/>
  <c r="G131" i="6"/>
  <c r="K130" i="6"/>
  <c r="M130" i="6"/>
  <c r="G130" i="6"/>
  <c r="I130" i="6"/>
  <c r="M129" i="6"/>
  <c r="M128" i="6"/>
  <c r="G128" i="6"/>
  <c r="I128" i="6"/>
  <c r="K127" i="6"/>
  <c r="M127" i="6"/>
  <c r="M145" i="6"/>
  <c r="G35" i="4"/>
  <c r="H127" i="6"/>
  <c r="G127" i="6"/>
  <c r="I127" i="6"/>
  <c r="M23" i="6"/>
  <c r="I23" i="6"/>
  <c r="M22" i="6"/>
  <c r="M21" i="6"/>
  <c r="M20" i="6"/>
  <c r="H20" i="6"/>
  <c r="G20" i="6"/>
  <c r="M19" i="6"/>
  <c r="M18" i="6"/>
  <c r="K17" i="6"/>
  <c r="M17" i="6"/>
  <c r="G17" i="6"/>
  <c r="I17" i="6"/>
  <c r="K16" i="6"/>
  <c r="M16" i="6"/>
  <c r="G16" i="6"/>
  <c r="I16" i="6"/>
  <c r="M15" i="6"/>
  <c r="M14" i="6"/>
  <c r="H14" i="6"/>
  <c r="G14" i="6"/>
  <c r="I14" i="6"/>
  <c r="K13" i="6"/>
  <c r="M13" i="6"/>
  <c r="G13" i="6"/>
  <c r="I13" i="6"/>
  <c r="M12" i="6"/>
  <c r="M11" i="6"/>
  <c r="H11" i="6"/>
  <c r="G11" i="6"/>
  <c r="K10" i="6"/>
  <c r="M10" i="6"/>
  <c r="G10" i="6"/>
  <c r="I10" i="6"/>
  <c r="M9" i="6"/>
  <c r="M8" i="6"/>
  <c r="G8" i="6"/>
  <c r="I8" i="6"/>
  <c r="K7" i="6"/>
  <c r="M7" i="6"/>
  <c r="H7" i="6"/>
  <c r="G7" i="6"/>
  <c r="M113" i="6"/>
  <c r="I113" i="6"/>
  <c r="M112" i="6"/>
  <c r="M111" i="6"/>
  <c r="M110" i="6"/>
  <c r="H110" i="6"/>
  <c r="G110" i="6"/>
  <c r="I110" i="6"/>
  <c r="M109" i="6"/>
  <c r="M108" i="6"/>
  <c r="K107" i="6"/>
  <c r="M107" i="6"/>
  <c r="G107" i="6"/>
  <c r="I107" i="6"/>
  <c r="K106" i="6"/>
  <c r="M106" i="6"/>
  <c r="I106" i="6"/>
  <c r="G106" i="6"/>
  <c r="M105" i="6"/>
  <c r="M104" i="6"/>
  <c r="H104" i="6"/>
  <c r="G104" i="6"/>
  <c r="I104" i="6"/>
  <c r="K103" i="6"/>
  <c r="M103" i="6"/>
  <c r="G103" i="6"/>
  <c r="I103" i="6"/>
  <c r="M102" i="6"/>
  <c r="M101" i="6"/>
  <c r="H101" i="6"/>
  <c r="I101" i="6"/>
  <c r="G101" i="6"/>
  <c r="K100" i="6"/>
  <c r="M100" i="6"/>
  <c r="I100" i="6"/>
  <c r="G100" i="6"/>
  <c r="M99" i="6"/>
  <c r="M98" i="6"/>
  <c r="G98" i="6"/>
  <c r="I98" i="6"/>
  <c r="K97" i="6"/>
  <c r="M97" i="6"/>
  <c r="M115" i="6"/>
  <c r="G34" i="4"/>
  <c r="H97" i="6"/>
  <c r="G97" i="6"/>
  <c r="I97" i="6"/>
  <c r="M83" i="6"/>
  <c r="I83" i="6"/>
  <c r="M82" i="6"/>
  <c r="M81" i="6"/>
  <c r="M80" i="6"/>
  <c r="H80" i="6"/>
  <c r="G80" i="6"/>
  <c r="M79" i="6"/>
  <c r="M78" i="6"/>
  <c r="K77" i="6"/>
  <c r="M77" i="6"/>
  <c r="G77" i="6"/>
  <c r="K76" i="6"/>
  <c r="M76" i="6"/>
  <c r="G76" i="6"/>
  <c r="I76" i="6"/>
  <c r="M75" i="6"/>
  <c r="M74" i="6"/>
  <c r="H74" i="6"/>
  <c r="G74" i="6"/>
  <c r="I74" i="6"/>
  <c r="K73" i="6"/>
  <c r="M73" i="6"/>
  <c r="G73" i="6"/>
  <c r="I73" i="6"/>
  <c r="M72" i="6"/>
  <c r="M71" i="6"/>
  <c r="H71" i="6"/>
  <c r="G71" i="6"/>
  <c r="K70" i="6"/>
  <c r="M70" i="6"/>
  <c r="G70" i="6"/>
  <c r="I70" i="6"/>
  <c r="M69" i="6"/>
  <c r="M68" i="6"/>
  <c r="G68" i="6"/>
  <c r="I68" i="6"/>
  <c r="K67" i="6"/>
  <c r="M67" i="6"/>
  <c r="H67" i="6"/>
  <c r="G67" i="6"/>
  <c r="H37" i="6"/>
  <c r="M53" i="6"/>
  <c r="I53" i="6"/>
  <c r="M52" i="6"/>
  <c r="M51" i="6"/>
  <c r="M50" i="6"/>
  <c r="H50" i="6"/>
  <c r="G50" i="6"/>
  <c r="M49" i="6"/>
  <c r="M48" i="6"/>
  <c r="K47" i="6"/>
  <c r="M47" i="6"/>
  <c r="G47" i="6"/>
  <c r="K46" i="6"/>
  <c r="M46" i="6"/>
  <c r="G46" i="6"/>
  <c r="I46" i="6"/>
  <c r="M45" i="6"/>
  <c r="M44" i="6"/>
  <c r="H44" i="6"/>
  <c r="G44" i="6"/>
  <c r="K43" i="6"/>
  <c r="M43" i="6"/>
  <c r="G43" i="6"/>
  <c r="I43" i="6"/>
  <c r="M42" i="6"/>
  <c r="M41" i="6"/>
  <c r="H41" i="6"/>
  <c r="G41" i="6"/>
  <c r="K40" i="6"/>
  <c r="M40" i="6"/>
  <c r="G40" i="6"/>
  <c r="I40" i="6"/>
  <c r="M39" i="6"/>
  <c r="M38" i="6"/>
  <c r="G38" i="6"/>
  <c r="I38" i="6"/>
  <c r="K37" i="6"/>
  <c r="M37" i="6"/>
  <c r="G37" i="6"/>
  <c r="I11" i="5"/>
  <c r="K11" i="5"/>
  <c r="I12" i="5"/>
  <c r="K12" i="5"/>
  <c r="I379" i="5"/>
  <c r="I346" i="5"/>
  <c r="K346" i="5"/>
  <c r="N346" i="5"/>
  <c r="I313" i="5"/>
  <c r="K313" i="5"/>
  <c r="I280" i="5"/>
  <c r="I247" i="5"/>
  <c r="K247" i="5"/>
  <c r="I214" i="5"/>
  <c r="I181" i="5"/>
  <c r="K181" i="5"/>
  <c r="I148" i="5"/>
  <c r="K148" i="5"/>
  <c r="I115" i="5"/>
  <c r="I82" i="5"/>
  <c r="K82" i="5"/>
  <c r="I49" i="5"/>
  <c r="K49" i="5"/>
  <c r="I16" i="5"/>
  <c r="K16" i="5"/>
  <c r="N391" i="5"/>
  <c r="R388" i="5"/>
  <c r="L388" i="5"/>
  <c r="I388" i="5"/>
  <c r="K388" i="5"/>
  <c r="N388" i="5"/>
  <c r="R387" i="5"/>
  <c r="L387" i="5"/>
  <c r="I387" i="5"/>
  <c r="K387" i="5"/>
  <c r="R386" i="5"/>
  <c r="L386" i="5"/>
  <c r="I386" i="5"/>
  <c r="K386" i="5"/>
  <c r="R385" i="5"/>
  <c r="R384" i="5"/>
  <c r="I384" i="5"/>
  <c r="K384" i="5"/>
  <c r="N384" i="5"/>
  <c r="R383" i="5"/>
  <c r="I383" i="5"/>
  <c r="K383" i="5"/>
  <c r="N383" i="5"/>
  <c r="R382" i="5"/>
  <c r="R381" i="5"/>
  <c r="I381" i="5"/>
  <c r="K381" i="5"/>
  <c r="N381" i="5"/>
  <c r="R380" i="5"/>
  <c r="R379" i="5"/>
  <c r="K379" i="5"/>
  <c r="N379" i="5"/>
  <c r="R378" i="5"/>
  <c r="R377" i="5"/>
  <c r="I377" i="5"/>
  <c r="K377" i="5"/>
  <c r="N377" i="5"/>
  <c r="R376" i="5"/>
  <c r="R375" i="5"/>
  <c r="I375" i="5"/>
  <c r="K375" i="5"/>
  <c r="N375" i="5"/>
  <c r="R374" i="5"/>
  <c r="I374" i="5"/>
  <c r="K374" i="5"/>
  <c r="N374" i="5"/>
  <c r="R373" i="5"/>
  <c r="R372" i="5"/>
  <c r="R371" i="5"/>
  <c r="I371" i="5"/>
  <c r="K371" i="5"/>
  <c r="N371" i="5"/>
  <c r="R369" i="5"/>
  <c r="I369" i="5"/>
  <c r="K369" i="5"/>
  <c r="N369" i="5"/>
  <c r="N358" i="5"/>
  <c r="R355" i="5"/>
  <c r="L355" i="5"/>
  <c r="I355" i="5"/>
  <c r="K355" i="5"/>
  <c r="R354" i="5"/>
  <c r="L354" i="5"/>
  <c r="I354" i="5"/>
  <c r="K354" i="5"/>
  <c r="R353" i="5"/>
  <c r="L353" i="5"/>
  <c r="I353" i="5"/>
  <c r="K353" i="5"/>
  <c r="R352" i="5"/>
  <c r="R351" i="5"/>
  <c r="I351" i="5"/>
  <c r="K351" i="5"/>
  <c r="N351" i="5"/>
  <c r="R350" i="5"/>
  <c r="I350" i="5"/>
  <c r="K350" i="5"/>
  <c r="N350" i="5"/>
  <c r="R349" i="5"/>
  <c r="R348" i="5"/>
  <c r="I348" i="5"/>
  <c r="K348" i="5"/>
  <c r="N348" i="5"/>
  <c r="R347" i="5"/>
  <c r="R346" i="5"/>
  <c r="R345" i="5"/>
  <c r="R344" i="5"/>
  <c r="I344" i="5"/>
  <c r="K344" i="5"/>
  <c r="N344" i="5"/>
  <c r="R343" i="5"/>
  <c r="R342" i="5"/>
  <c r="I342" i="5"/>
  <c r="K342" i="5"/>
  <c r="N342" i="5"/>
  <c r="R341" i="5"/>
  <c r="I341" i="5"/>
  <c r="K341" i="5"/>
  <c r="N341" i="5"/>
  <c r="R340" i="5"/>
  <c r="R339" i="5"/>
  <c r="R338" i="5"/>
  <c r="I338" i="5"/>
  <c r="K338" i="5"/>
  <c r="N338" i="5"/>
  <c r="R336" i="5"/>
  <c r="I336" i="5"/>
  <c r="K336" i="5"/>
  <c r="N336" i="5"/>
  <c r="N325" i="5"/>
  <c r="R322" i="5"/>
  <c r="L322" i="5"/>
  <c r="I322" i="5"/>
  <c r="K322" i="5"/>
  <c r="R321" i="5"/>
  <c r="L321" i="5"/>
  <c r="I321" i="5"/>
  <c r="K321" i="5"/>
  <c r="P39" i="15"/>
  <c r="R320" i="5"/>
  <c r="L320" i="5"/>
  <c r="I320" i="5"/>
  <c r="K320" i="5"/>
  <c r="P38" i="15"/>
  <c r="R319" i="5"/>
  <c r="R318" i="5"/>
  <c r="I318" i="5"/>
  <c r="K318" i="5"/>
  <c r="R317" i="5"/>
  <c r="I317" i="5"/>
  <c r="K317" i="5"/>
  <c r="R316" i="5"/>
  <c r="R315" i="5"/>
  <c r="I315" i="5"/>
  <c r="K315" i="5"/>
  <c r="R314" i="5"/>
  <c r="R313" i="5"/>
  <c r="R312" i="5"/>
  <c r="R311" i="5"/>
  <c r="I311" i="5"/>
  <c r="K311" i="5"/>
  <c r="R310" i="5"/>
  <c r="R309" i="5"/>
  <c r="I309" i="5"/>
  <c r="K309" i="5"/>
  <c r="R308" i="5"/>
  <c r="I308" i="5"/>
  <c r="K308" i="5"/>
  <c r="R307" i="5"/>
  <c r="R306" i="5"/>
  <c r="R305" i="5"/>
  <c r="I305" i="5"/>
  <c r="K305" i="5"/>
  <c r="N305" i="5"/>
  <c r="R303" i="5"/>
  <c r="I303" i="5"/>
  <c r="K303" i="5"/>
  <c r="N292" i="5"/>
  <c r="R289" i="5"/>
  <c r="L289" i="5"/>
  <c r="I289" i="5"/>
  <c r="K289" i="5"/>
  <c r="O40" i="15"/>
  <c r="R288" i="5"/>
  <c r="L288" i="5"/>
  <c r="I288" i="5"/>
  <c r="K288" i="5"/>
  <c r="R287" i="5"/>
  <c r="L287" i="5"/>
  <c r="I287" i="5"/>
  <c r="K287" i="5"/>
  <c r="R286" i="5"/>
  <c r="R285" i="5"/>
  <c r="I285" i="5"/>
  <c r="K285" i="5"/>
  <c r="R284" i="5"/>
  <c r="I284" i="5"/>
  <c r="K284" i="5"/>
  <c r="R283" i="5"/>
  <c r="R282" i="5"/>
  <c r="I282" i="5"/>
  <c r="K282" i="5"/>
  <c r="R281" i="5"/>
  <c r="R280" i="5"/>
  <c r="K280" i="5"/>
  <c r="R279" i="5"/>
  <c r="R278" i="5"/>
  <c r="I278" i="5"/>
  <c r="K278" i="5"/>
  <c r="R277" i="5"/>
  <c r="R276" i="5"/>
  <c r="I276" i="5"/>
  <c r="K276" i="5"/>
  <c r="R275" i="5"/>
  <c r="I275" i="5"/>
  <c r="K275" i="5"/>
  <c r="R274" i="5"/>
  <c r="R273" i="5"/>
  <c r="R272" i="5"/>
  <c r="I272" i="5"/>
  <c r="K272" i="5"/>
  <c r="N272" i="5"/>
  <c r="R270" i="5"/>
  <c r="I270" i="5"/>
  <c r="K270" i="5"/>
  <c r="N259" i="5"/>
  <c r="R256" i="5"/>
  <c r="L256" i="5"/>
  <c r="I256" i="5"/>
  <c r="K256" i="5"/>
  <c r="R255" i="5"/>
  <c r="L255" i="5"/>
  <c r="I255" i="5"/>
  <c r="K255" i="5"/>
  <c r="R254" i="5"/>
  <c r="L254" i="5"/>
  <c r="I254" i="5"/>
  <c r="K254" i="5"/>
  <c r="N38" i="15"/>
  <c r="R253" i="5"/>
  <c r="R252" i="5"/>
  <c r="I252" i="5"/>
  <c r="K252" i="5"/>
  <c r="R251" i="5"/>
  <c r="I251" i="5"/>
  <c r="K251" i="5"/>
  <c r="R250" i="5"/>
  <c r="R249" i="5"/>
  <c r="I249" i="5"/>
  <c r="K249" i="5"/>
  <c r="R248" i="5"/>
  <c r="R247" i="5"/>
  <c r="R246" i="5"/>
  <c r="R245" i="5"/>
  <c r="I245" i="5"/>
  <c r="K245" i="5"/>
  <c r="R244" i="5"/>
  <c r="R243" i="5"/>
  <c r="I243" i="5"/>
  <c r="K243" i="5"/>
  <c r="R242" i="5"/>
  <c r="I242" i="5"/>
  <c r="K242" i="5"/>
  <c r="R241" i="5"/>
  <c r="R240" i="5"/>
  <c r="R239" i="5"/>
  <c r="I239" i="5"/>
  <c r="K239" i="5"/>
  <c r="N239" i="5"/>
  <c r="R237" i="5"/>
  <c r="I237" i="5"/>
  <c r="K237" i="5"/>
  <c r="N226" i="5"/>
  <c r="R223" i="5"/>
  <c r="L223" i="5"/>
  <c r="I223" i="5"/>
  <c r="K223" i="5"/>
  <c r="M40" i="15"/>
  <c r="R222" i="5"/>
  <c r="L222" i="5"/>
  <c r="I222" i="5"/>
  <c r="K222" i="5"/>
  <c r="M39" i="15"/>
  <c r="R221" i="5"/>
  <c r="L221" i="5"/>
  <c r="I221" i="5"/>
  <c r="K221" i="5"/>
  <c r="M38" i="15"/>
  <c r="R220" i="5"/>
  <c r="R219" i="5"/>
  <c r="I219" i="5"/>
  <c r="K219" i="5"/>
  <c r="R218" i="5"/>
  <c r="I218" i="5"/>
  <c r="K218" i="5"/>
  <c r="R217" i="5"/>
  <c r="R216" i="5"/>
  <c r="I216" i="5"/>
  <c r="K216" i="5"/>
  <c r="R215" i="5"/>
  <c r="R214" i="5"/>
  <c r="K214" i="5"/>
  <c r="R213" i="5"/>
  <c r="R212" i="5"/>
  <c r="I212" i="5"/>
  <c r="K212" i="5"/>
  <c r="R211" i="5"/>
  <c r="R210" i="5"/>
  <c r="I210" i="5"/>
  <c r="K210" i="5"/>
  <c r="R209" i="5"/>
  <c r="I209" i="5"/>
  <c r="K209" i="5"/>
  <c r="R208" i="5"/>
  <c r="R207" i="5"/>
  <c r="R206" i="5"/>
  <c r="K206" i="5"/>
  <c r="N206" i="5"/>
  <c r="I206" i="5"/>
  <c r="R204" i="5"/>
  <c r="I204" i="5"/>
  <c r="K204" i="5"/>
  <c r="N193" i="5"/>
  <c r="R190" i="5"/>
  <c r="L190" i="5"/>
  <c r="I190" i="5"/>
  <c r="K190" i="5"/>
  <c r="R189" i="5"/>
  <c r="L189" i="5"/>
  <c r="I189" i="5"/>
  <c r="K189" i="5"/>
  <c r="L39" i="15"/>
  <c r="R188" i="5"/>
  <c r="L188" i="5"/>
  <c r="I188" i="5"/>
  <c r="K188" i="5"/>
  <c r="R187" i="5"/>
  <c r="R186" i="5"/>
  <c r="I186" i="5"/>
  <c r="K186" i="5"/>
  <c r="R185" i="5"/>
  <c r="I185" i="5"/>
  <c r="K185" i="5"/>
  <c r="R184" i="5"/>
  <c r="R183" i="5"/>
  <c r="I183" i="5"/>
  <c r="K183" i="5"/>
  <c r="R182" i="5"/>
  <c r="R181" i="5"/>
  <c r="R180" i="5"/>
  <c r="R179" i="5"/>
  <c r="I179" i="5"/>
  <c r="K179" i="5"/>
  <c r="R178" i="5"/>
  <c r="R177" i="5"/>
  <c r="I177" i="5"/>
  <c r="K177" i="5"/>
  <c r="R176" i="5"/>
  <c r="I176" i="5"/>
  <c r="K176" i="5"/>
  <c r="R175" i="5"/>
  <c r="R174" i="5"/>
  <c r="R173" i="5"/>
  <c r="I173" i="5"/>
  <c r="K173" i="5"/>
  <c r="N173" i="5"/>
  <c r="R171" i="5"/>
  <c r="I171" i="5"/>
  <c r="K171" i="5"/>
  <c r="N160" i="5"/>
  <c r="R157" i="5"/>
  <c r="L157" i="5"/>
  <c r="I157" i="5"/>
  <c r="K157" i="5"/>
  <c r="R156" i="5"/>
  <c r="L156" i="5"/>
  <c r="I156" i="5"/>
  <c r="K156" i="5"/>
  <c r="R155" i="5"/>
  <c r="L155" i="5"/>
  <c r="I155" i="5"/>
  <c r="K155" i="5"/>
  <c r="K38" i="15"/>
  <c r="R154" i="5"/>
  <c r="R153" i="5"/>
  <c r="K153" i="5"/>
  <c r="I153" i="5"/>
  <c r="R152" i="5"/>
  <c r="I152" i="5"/>
  <c r="K152" i="5"/>
  <c r="R151" i="5"/>
  <c r="R150" i="5"/>
  <c r="I150" i="5"/>
  <c r="K150" i="5"/>
  <c r="R149" i="5"/>
  <c r="R148" i="5"/>
  <c r="R147" i="5"/>
  <c r="R146" i="5"/>
  <c r="I146" i="5"/>
  <c r="K146" i="5"/>
  <c r="R145" i="5"/>
  <c r="R144" i="5"/>
  <c r="I144" i="5"/>
  <c r="K144" i="5"/>
  <c r="R143" i="5"/>
  <c r="I143" i="5"/>
  <c r="K143" i="5"/>
  <c r="R142" i="5"/>
  <c r="R141" i="5"/>
  <c r="R140" i="5"/>
  <c r="I140" i="5"/>
  <c r="K140" i="5"/>
  <c r="N140" i="5"/>
  <c r="R138" i="5"/>
  <c r="I138" i="5"/>
  <c r="K138" i="5"/>
  <c r="N127" i="5"/>
  <c r="R124" i="5"/>
  <c r="L124" i="5"/>
  <c r="I124" i="5"/>
  <c r="K124" i="5"/>
  <c r="J40" i="15"/>
  <c r="R123" i="5"/>
  <c r="L123" i="5"/>
  <c r="I123" i="5"/>
  <c r="K123" i="5"/>
  <c r="R122" i="5"/>
  <c r="L122" i="5"/>
  <c r="I122" i="5"/>
  <c r="K122" i="5"/>
  <c r="J38" i="15"/>
  <c r="R121" i="5"/>
  <c r="R120" i="5"/>
  <c r="I120" i="5"/>
  <c r="K120" i="5"/>
  <c r="R119" i="5"/>
  <c r="I119" i="5"/>
  <c r="K119" i="5"/>
  <c r="R118" i="5"/>
  <c r="R117" i="5"/>
  <c r="I117" i="5"/>
  <c r="K117" i="5"/>
  <c r="R116" i="5"/>
  <c r="R115" i="5"/>
  <c r="K115" i="5"/>
  <c r="R114" i="5"/>
  <c r="R113" i="5"/>
  <c r="I113" i="5"/>
  <c r="K113" i="5"/>
  <c r="R112" i="5"/>
  <c r="R111" i="5"/>
  <c r="I111" i="5"/>
  <c r="K111" i="5"/>
  <c r="R110" i="5"/>
  <c r="I110" i="5"/>
  <c r="K110" i="5"/>
  <c r="R109" i="5"/>
  <c r="R108" i="5"/>
  <c r="R107" i="5"/>
  <c r="K107" i="5"/>
  <c r="N107" i="5"/>
  <c r="I107" i="5"/>
  <c r="R105" i="5"/>
  <c r="I105" i="5"/>
  <c r="K105" i="5"/>
  <c r="N94" i="5"/>
  <c r="R91" i="5"/>
  <c r="L91" i="5"/>
  <c r="I91" i="5"/>
  <c r="K91" i="5"/>
  <c r="R90" i="5"/>
  <c r="L90" i="5"/>
  <c r="I90" i="5"/>
  <c r="K90" i="5"/>
  <c r="I39" i="15"/>
  <c r="R89" i="5"/>
  <c r="L89" i="5"/>
  <c r="I89" i="5"/>
  <c r="K89" i="5"/>
  <c r="R88" i="5"/>
  <c r="R87" i="5"/>
  <c r="I87" i="5"/>
  <c r="K87" i="5"/>
  <c r="I37" i="15"/>
  <c r="R86" i="5"/>
  <c r="I86" i="5"/>
  <c r="K86" i="5"/>
  <c r="R85" i="5"/>
  <c r="R84" i="5"/>
  <c r="I84" i="5"/>
  <c r="K84" i="5"/>
  <c r="R83" i="5"/>
  <c r="R82" i="5"/>
  <c r="R81" i="5"/>
  <c r="R80" i="5"/>
  <c r="I80" i="5"/>
  <c r="K80" i="5"/>
  <c r="R79" i="5"/>
  <c r="R78" i="5"/>
  <c r="I78" i="5"/>
  <c r="K78" i="5"/>
  <c r="R77" i="5"/>
  <c r="I77" i="5"/>
  <c r="K77" i="5"/>
  <c r="R76" i="5"/>
  <c r="R75" i="5"/>
  <c r="R74" i="5"/>
  <c r="I74" i="5"/>
  <c r="K74" i="5"/>
  <c r="N74" i="5"/>
  <c r="R72" i="5"/>
  <c r="I72" i="5"/>
  <c r="K72" i="5"/>
  <c r="N61" i="5"/>
  <c r="R58" i="5"/>
  <c r="L58" i="5"/>
  <c r="I58" i="5"/>
  <c r="K58" i="5"/>
  <c r="R57" i="5"/>
  <c r="L57" i="5"/>
  <c r="I57" i="5"/>
  <c r="K57" i="5"/>
  <c r="R56" i="5"/>
  <c r="L56" i="5"/>
  <c r="I56" i="5"/>
  <c r="K56" i="5"/>
  <c r="H38" i="15"/>
  <c r="R55" i="5"/>
  <c r="R54" i="5"/>
  <c r="I54" i="5"/>
  <c r="K54" i="5"/>
  <c r="R53" i="5"/>
  <c r="I53" i="5"/>
  <c r="K53" i="5"/>
  <c r="R52" i="5"/>
  <c r="R51" i="5"/>
  <c r="I51" i="5"/>
  <c r="K51" i="5"/>
  <c r="R50" i="5"/>
  <c r="R49" i="5"/>
  <c r="R48" i="5"/>
  <c r="R47" i="5"/>
  <c r="I47" i="5"/>
  <c r="K47" i="5"/>
  <c r="R46" i="5"/>
  <c r="R45" i="5"/>
  <c r="I45" i="5"/>
  <c r="K45" i="5"/>
  <c r="R44" i="5"/>
  <c r="I44" i="5"/>
  <c r="K44" i="5"/>
  <c r="R43" i="5"/>
  <c r="R42" i="5"/>
  <c r="R41" i="5"/>
  <c r="I41" i="5"/>
  <c r="K41" i="5"/>
  <c r="N41" i="5"/>
  <c r="R39" i="5"/>
  <c r="I39" i="5"/>
  <c r="K39" i="5"/>
  <c r="N28" i="5"/>
  <c r="R25" i="5"/>
  <c r="L25" i="5"/>
  <c r="I25" i="5"/>
  <c r="K25" i="5"/>
  <c r="G40" i="15"/>
  <c r="R24" i="5"/>
  <c r="L24" i="5"/>
  <c r="I24" i="5"/>
  <c r="K24" i="5"/>
  <c r="G39" i="15"/>
  <c r="R23" i="5"/>
  <c r="L23" i="5"/>
  <c r="I23" i="5"/>
  <c r="K23" i="5"/>
  <c r="G38" i="15"/>
  <c r="R22" i="5"/>
  <c r="R21" i="5"/>
  <c r="I21" i="5"/>
  <c r="K21" i="5"/>
  <c r="R20" i="5"/>
  <c r="I20" i="5"/>
  <c r="K20" i="5"/>
  <c r="R19" i="5"/>
  <c r="R18" i="5"/>
  <c r="I18" i="5"/>
  <c r="K18" i="5"/>
  <c r="R17" i="5"/>
  <c r="R16" i="5"/>
  <c r="R15" i="5"/>
  <c r="R14" i="5"/>
  <c r="I14" i="5"/>
  <c r="K14" i="5"/>
  <c r="R13" i="5"/>
  <c r="R12" i="5"/>
  <c r="R11" i="5"/>
  <c r="R10" i="5"/>
  <c r="R9" i="5"/>
  <c r="R8" i="5"/>
  <c r="I8" i="5"/>
  <c r="K8" i="5"/>
  <c r="N8" i="5"/>
  <c r="R6" i="5"/>
  <c r="I6" i="5"/>
  <c r="K6" i="5"/>
  <c r="I7" i="6"/>
  <c r="I20" i="6"/>
  <c r="I25" i="6"/>
  <c r="B26" i="6"/>
  <c r="F31" i="4"/>
  <c r="N354" i="5"/>
  <c r="N82" i="5"/>
  <c r="I34" i="15"/>
  <c r="N148" i="5"/>
  <c r="K34" i="15"/>
  <c r="N144" i="5"/>
  <c r="K32" i="15"/>
  <c r="N317" i="5"/>
  <c r="P36" i="15"/>
  <c r="N14" i="5"/>
  <c r="G33" i="15"/>
  <c r="N311" i="5"/>
  <c r="P33" i="15"/>
  <c r="N80" i="5"/>
  <c r="I33" i="15"/>
  <c r="N119" i="5"/>
  <c r="J36" i="15"/>
  <c r="N150" i="5"/>
  <c r="K35" i="15"/>
  <c r="N183" i="5"/>
  <c r="L35" i="15"/>
  <c r="N288" i="5"/>
  <c r="O39" i="15"/>
  <c r="N47" i="5"/>
  <c r="H33" i="15"/>
  <c r="N282" i="5"/>
  <c r="O35" i="15"/>
  <c r="N113" i="5"/>
  <c r="J33" i="15"/>
  <c r="N152" i="5"/>
  <c r="K36" i="15"/>
  <c r="N157" i="5"/>
  <c r="K40" i="15"/>
  <c r="N177" i="5"/>
  <c r="L32" i="15"/>
  <c r="N185" i="5"/>
  <c r="L36" i="15"/>
  <c r="N210" i="5"/>
  <c r="M32" i="15"/>
  <c r="N243" i="5"/>
  <c r="N32" i="15"/>
  <c r="N251" i="5"/>
  <c r="N36" i="15"/>
  <c r="N256" i="5"/>
  <c r="N40" i="15"/>
  <c r="N308" i="5"/>
  <c r="P31" i="15"/>
  <c r="N315" i="5"/>
  <c r="P35" i="15"/>
  <c r="N49" i="5"/>
  <c r="H34" i="15"/>
  <c r="N16" i="5"/>
  <c r="G34" i="15"/>
  <c r="N89" i="5"/>
  <c r="I38" i="15"/>
  <c r="N138" i="5"/>
  <c r="K30" i="15"/>
  <c r="N218" i="5"/>
  <c r="M36" i="15"/>
  <c r="N276" i="5"/>
  <c r="O32" i="15"/>
  <c r="N284" i="5"/>
  <c r="O36" i="15"/>
  <c r="R162" i="5"/>
  <c r="N146" i="5"/>
  <c r="K33" i="15"/>
  <c r="N186" i="5"/>
  <c r="L37" i="15"/>
  <c r="N153" i="5"/>
  <c r="K37" i="15"/>
  <c r="N219" i="5"/>
  <c r="M37" i="15"/>
  <c r="N285" i="5"/>
  <c r="O37" i="15"/>
  <c r="N11" i="5"/>
  <c r="G31" i="15"/>
  <c r="N77" i="5"/>
  <c r="I31" i="15"/>
  <c r="N171" i="5"/>
  <c r="L30" i="15"/>
  <c r="N237" i="5"/>
  <c r="N30" i="15"/>
  <c r="N270" i="5"/>
  <c r="O30" i="15"/>
  <c r="N278" i="5"/>
  <c r="O33" i="15"/>
  <c r="N303" i="5"/>
  <c r="P30" i="15"/>
  <c r="N84" i="5"/>
  <c r="I35" i="15"/>
  <c r="N212" i="5"/>
  <c r="M33" i="15"/>
  <c r="N245" i="5"/>
  <c r="N33" i="15"/>
  <c r="N322" i="5"/>
  <c r="P40" i="15"/>
  <c r="N44" i="5"/>
  <c r="H31" i="15"/>
  <c r="N123" i="5"/>
  <c r="J39" i="15"/>
  <c r="N188" i="5"/>
  <c r="L38" i="15"/>
  <c r="N179" i="5"/>
  <c r="L33" i="15"/>
  <c r="N252" i="5"/>
  <c r="N37" i="15"/>
  <c r="N287" i="5"/>
  <c r="O38" i="15"/>
  <c r="N318" i="5"/>
  <c r="P37" i="15"/>
  <c r="N247" i="5"/>
  <c r="N34" i="15"/>
  <c r="N309" i="5"/>
  <c r="P32" i="15"/>
  <c r="N12" i="5"/>
  <c r="G32" i="15"/>
  <c r="N78" i="5"/>
  <c r="I32" i="15"/>
  <c r="N45" i="5"/>
  <c r="H32" i="15"/>
  <c r="N91" i="5"/>
  <c r="I40" i="15"/>
  <c r="N110" i="5"/>
  <c r="J31" i="15"/>
  <c r="N280" i="5"/>
  <c r="O34" i="15"/>
  <c r="N57" i="5"/>
  <c r="H39" i="15"/>
  <c r="N115" i="5"/>
  <c r="J34" i="15"/>
  <c r="N204" i="5"/>
  <c r="N228" i="5"/>
  <c r="B225" i="5"/>
  <c r="M30" i="15"/>
  <c r="N58" i="5"/>
  <c r="H40" i="15"/>
  <c r="N86" i="5"/>
  <c r="I36" i="15"/>
  <c r="N117" i="5"/>
  <c r="J35" i="15"/>
  <c r="N181" i="5"/>
  <c r="L34" i="15"/>
  <c r="N214" i="5"/>
  <c r="M34" i="15"/>
  <c r="N143" i="5"/>
  <c r="K31" i="15"/>
  <c r="N313" i="5"/>
  <c r="P34" i="15"/>
  <c r="N111" i="5"/>
  <c r="J32" i="15"/>
  <c r="N156" i="5"/>
  <c r="K39" i="15"/>
  <c r="N216" i="5"/>
  <c r="M35" i="15"/>
  <c r="N249" i="5"/>
  <c r="N35" i="15"/>
  <c r="N255" i="5"/>
  <c r="N39" i="15"/>
  <c r="N39" i="5"/>
  <c r="H30" i="15"/>
  <c r="N72" i="5"/>
  <c r="I30" i="15"/>
  <c r="N87" i="5"/>
  <c r="N176" i="5"/>
  <c r="L31" i="15"/>
  <c r="N209" i="5"/>
  <c r="M31" i="15"/>
  <c r="N242" i="5"/>
  <c r="N31" i="15"/>
  <c r="N105" i="5"/>
  <c r="J30" i="15"/>
  <c r="N120" i="5"/>
  <c r="J37" i="15"/>
  <c r="N190" i="5"/>
  <c r="L40" i="15"/>
  <c r="N275" i="5"/>
  <c r="O31" i="15"/>
  <c r="C39" i="8"/>
  <c r="C7" i="4"/>
  <c r="N18" i="5"/>
  <c r="G35" i="15"/>
  <c r="N20" i="5"/>
  <c r="G36" i="15"/>
  <c r="N21" i="5"/>
  <c r="G37" i="15"/>
  <c r="N6" i="5"/>
  <c r="G30" i="15"/>
  <c r="I67" i="6"/>
  <c r="N54" i="5"/>
  <c r="H37" i="15"/>
  <c r="N53" i="5"/>
  <c r="H36" i="15"/>
  <c r="N51" i="5"/>
  <c r="H35" i="15"/>
  <c r="C21" i="4"/>
  <c r="C23" i="4"/>
  <c r="C25" i="4"/>
  <c r="E8" i="16"/>
  <c r="E7" i="16"/>
  <c r="J6" i="7"/>
  <c r="J47" i="7"/>
  <c r="J50" i="7"/>
  <c r="J222" i="7"/>
  <c r="J21" i="7"/>
  <c r="J117" i="7"/>
  <c r="J9" i="7"/>
  <c r="J79" i="7"/>
  <c r="J12" i="7"/>
  <c r="J91" i="7"/>
  <c r="J120" i="7"/>
  <c r="J184" i="7"/>
  <c r="J146" i="7"/>
  <c r="J187" i="7"/>
  <c r="J44" i="7"/>
  <c r="J85" i="7"/>
  <c r="J263" i="7"/>
  <c r="J53" i="7"/>
  <c r="J155" i="7"/>
  <c r="J196" i="7"/>
  <c r="J82" i="7"/>
  <c r="J123" i="7"/>
  <c r="J225" i="7"/>
  <c r="J266" i="7"/>
  <c r="J15" i="7"/>
  <c r="J76" i="7"/>
  <c r="J158" i="7"/>
  <c r="J260" i="7"/>
  <c r="J254" i="7"/>
  <c r="J126" i="7"/>
  <c r="J181" i="7"/>
  <c r="J228" i="7"/>
  <c r="J18" i="7"/>
  <c r="J161" i="7"/>
  <c r="J88" i="7"/>
  <c r="J149" i="7"/>
  <c r="J190" i="7"/>
  <c r="J114" i="7"/>
  <c r="J152" i="7"/>
  <c r="J216" i="7"/>
  <c r="J251" i="7"/>
  <c r="J257" i="7"/>
  <c r="J231" i="7"/>
  <c r="N274" i="7"/>
  <c r="B278" i="7"/>
  <c r="C68" i="4"/>
  <c r="J41" i="7"/>
  <c r="J219" i="7"/>
  <c r="N239" i="7"/>
  <c r="B243" i="7"/>
  <c r="C67" i="4"/>
  <c r="N204" i="7"/>
  <c r="B208" i="7"/>
  <c r="C66" i="4"/>
  <c r="N169" i="7"/>
  <c r="B173" i="7"/>
  <c r="C65" i="4"/>
  <c r="N134" i="7"/>
  <c r="B138" i="7"/>
  <c r="C64" i="4"/>
  <c r="N99" i="7"/>
  <c r="B103" i="7"/>
  <c r="C63" i="4"/>
  <c r="N64" i="7"/>
  <c r="B68" i="7"/>
  <c r="C62" i="4"/>
  <c r="N29" i="7"/>
  <c r="B33" i="7"/>
  <c r="C61" i="4"/>
  <c r="I115" i="6"/>
  <c r="B116" i="6"/>
  <c r="F34" i="4"/>
  <c r="M175" i="6"/>
  <c r="G36" i="4"/>
  <c r="M205" i="6"/>
  <c r="G37" i="4"/>
  <c r="I200" i="6"/>
  <c r="I71" i="6"/>
  <c r="I191" i="6"/>
  <c r="I161" i="6"/>
  <c r="I224" i="6"/>
  <c r="I11" i="6"/>
  <c r="I217" i="6"/>
  <c r="M235" i="6"/>
  <c r="G38" i="4"/>
  <c r="I221" i="6"/>
  <c r="I235" i="6"/>
  <c r="B236" i="6"/>
  <c r="F38" i="4"/>
  <c r="I205" i="6"/>
  <c r="B206" i="6"/>
  <c r="F37" i="4"/>
  <c r="I175" i="6"/>
  <c r="B176" i="6"/>
  <c r="F36" i="4"/>
  <c r="I145" i="6"/>
  <c r="B146" i="6"/>
  <c r="F35" i="4"/>
  <c r="M25" i="6"/>
  <c r="I80" i="6"/>
  <c r="I77" i="6"/>
  <c r="M85" i="6"/>
  <c r="G33" i="4"/>
  <c r="I44" i="6"/>
  <c r="I50" i="6"/>
  <c r="I41" i="6"/>
  <c r="I47" i="6"/>
  <c r="I37" i="6"/>
  <c r="M55" i="6"/>
  <c r="N386" i="5"/>
  <c r="N355" i="5"/>
  <c r="N360" i="5"/>
  <c r="B357" i="5"/>
  <c r="B41" i="4"/>
  <c r="N387" i="5"/>
  <c r="R228" i="5"/>
  <c r="N23" i="5"/>
  <c r="N353" i="5"/>
  <c r="N24" i="5"/>
  <c r="R393" i="5"/>
  <c r="R360" i="5"/>
  <c r="N321" i="5"/>
  <c r="R327" i="5"/>
  <c r="N320" i="5"/>
  <c r="R294" i="5"/>
  <c r="N289" i="5"/>
  <c r="R261" i="5"/>
  <c r="N254" i="5"/>
  <c r="N223" i="5"/>
  <c r="N221" i="5"/>
  <c r="N222" i="5"/>
  <c r="R195" i="5"/>
  <c r="N189" i="5"/>
  <c r="N155" i="5"/>
  <c r="N124" i="5"/>
  <c r="R129" i="5"/>
  <c r="N122" i="5"/>
  <c r="R96" i="5"/>
  <c r="N90" i="5"/>
  <c r="R63" i="5"/>
  <c r="B63" i="5"/>
  <c r="N56" i="5"/>
  <c r="N25" i="5"/>
  <c r="R30" i="5"/>
  <c r="B30" i="5"/>
  <c r="X318" i="3"/>
  <c r="W318" i="3"/>
  <c r="V318" i="3"/>
  <c r="U318" i="3"/>
  <c r="T318" i="3"/>
  <c r="S318" i="3"/>
  <c r="R318" i="3"/>
  <c r="Q318" i="3"/>
  <c r="X275" i="3"/>
  <c r="W275" i="3"/>
  <c r="V275" i="3"/>
  <c r="U275" i="3"/>
  <c r="T275" i="3"/>
  <c r="S275" i="3"/>
  <c r="R275" i="3"/>
  <c r="Q275" i="3"/>
  <c r="X232" i="3"/>
  <c r="W232" i="3"/>
  <c r="V232" i="3"/>
  <c r="U232" i="3"/>
  <c r="T232" i="3"/>
  <c r="S232" i="3"/>
  <c r="R232" i="3"/>
  <c r="Q232" i="3"/>
  <c r="X189" i="3"/>
  <c r="W189" i="3"/>
  <c r="V189" i="3"/>
  <c r="U189" i="3"/>
  <c r="T189" i="3"/>
  <c r="S189" i="3"/>
  <c r="R189" i="3"/>
  <c r="Q189" i="3"/>
  <c r="X146" i="3"/>
  <c r="W146" i="3"/>
  <c r="V146" i="3"/>
  <c r="U146" i="3"/>
  <c r="T146" i="3"/>
  <c r="S146" i="3"/>
  <c r="R146" i="3"/>
  <c r="Q146" i="3"/>
  <c r="X103" i="3"/>
  <c r="W103" i="3"/>
  <c r="V103" i="3"/>
  <c r="U103" i="3"/>
  <c r="T103" i="3"/>
  <c r="S103" i="3"/>
  <c r="R103" i="3"/>
  <c r="Q103" i="3"/>
  <c r="X59" i="3"/>
  <c r="W59" i="3"/>
  <c r="V59" i="3"/>
  <c r="U59" i="3"/>
  <c r="T59" i="3"/>
  <c r="S59" i="3"/>
  <c r="R59" i="3"/>
  <c r="Q59" i="3"/>
  <c r="X14" i="3"/>
  <c r="W14" i="3"/>
  <c r="V14" i="3"/>
  <c r="U14" i="3"/>
  <c r="T14" i="3"/>
  <c r="S14" i="3"/>
  <c r="R14" i="3"/>
  <c r="Q14" i="3"/>
  <c r="X316" i="3"/>
  <c r="W316" i="3"/>
  <c r="V316" i="3"/>
  <c r="U316" i="3"/>
  <c r="T316" i="3"/>
  <c r="S316" i="3"/>
  <c r="R316" i="3"/>
  <c r="Q316" i="3"/>
  <c r="X273" i="3"/>
  <c r="W273" i="3"/>
  <c r="V273" i="3"/>
  <c r="U273" i="3"/>
  <c r="T273" i="3"/>
  <c r="S273" i="3"/>
  <c r="R273" i="3"/>
  <c r="Q273" i="3"/>
  <c r="X230" i="3"/>
  <c r="W230" i="3"/>
  <c r="V230" i="3"/>
  <c r="U230" i="3"/>
  <c r="T230" i="3"/>
  <c r="S230" i="3"/>
  <c r="R230" i="3"/>
  <c r="Q230" i="3"/>
  <c r="X187" i="3"/>
  <c r="W187" i="3"/>
  <c r="V187" i="3"/>
  <c r="U187" i="3"/>
  <c r="T187" i="3"/>
  <c r="S187" i="3"/>
  <c r="R187" i="3"/>
  <c r="Q187" i="3"/>
  <c r="X144" i="3"/>
  <c r="W144" i="3"/>
  <c r="V144" i="3"/>
  <c r="U144" i="3"/>
  <c r="T144" i="3"/>
  <c r="S144" i="3"/>
  <c r="R144" i="3"/>
  <c r="Q144" i="3"/>
  <c r="X101" i="3"/>
  <c r="W101" i="3"/>
  <c r="V101" i="3"/>
  <c r="U101" i="3"/>
  <c r="T101" i="3"/>
  <c r="S101" i="3"/>
  <c r="R101" i="3"/>
  <c r="Q101" i="3"/>
  <c r="X57" i="3"/>
  <c r="W57" i="3"/>
  <c r="V57" i="3"/>
  <c r="U57" i="3"/>
  <c r="T57" i="3"/>
  <c r="S57" i="3"/>
  <c r="R57" i="3"/>
  <c r="Q57" i="3"/>
  <c r="Q12" i="3"/>
  <c r="X12" i="3"/>
  <c r="W12" i="3"/>
  <c r="V12" i="3"/>
  <c r="U12" i="3"/>
  <c r="T12" i="3"/>
  <c r="S12" i="3"/>
  <c r="R12" i="3"/>
  <c r="X320" i="3"/>
  <c r="W320" i="3"/>
  <c r="V320" i="3"/>
  <c r="U320" i="3"/>
  <c r="T320" i="3"/>
  <c r="S320" i="3"/>
  <c r="R320" i="3"/>
  <c r="Q320" i="3"/>
  <c r="X277" i="3"/>
  <c r="W277" i="3"/>
  <c r="V277" i="3"/>
  <c r="U277" i="3"/>
  <c r="T277" i="3"/>
  <c r="S277" i="3"/>
  <c r="R277" i="3"/>
  <c r="Q277" i="3"/>
  <c r="X234" i="3"/>
  <c r="W234" i="3"/>
  <c r="V234" i="3"/>
  <c r="U234" i="3"/>
  <c r="T234" i="3"/>
  <c r="S234" i="3"/>
  <c r="R234" i="3"/>
  <c r="Q234" i="3"/>
  <c r="X191" i="3"/>
  <c r="W191" i="3"/>
  <c r="V191" i="3"/>
  <c r="U191" i="3"/>
  <c r="T191" i="3"/>
  <c r="S191" i="3"/>
  <c r="R191" i="3"/>
  <c r="Q191" i="3"/>
  <c r="X148" i="3"/>
  <c r="W148" i="3"/>
  <c r="V148" i="3"/>
  <c r="U148" i="3"/>
  <c r="T148" i="3"/>
  <c r="S148" i="3"/>
  <c r="R148" i="3"/>
  <c r="Q148" i="3"/>
  <c r="X105" i="3"/>
  <c r="W105" i="3"/>
  <c r="V105" i="3"/>
  <c r="U105" i="3"/>
  <c r="T105" i="3"/>
  <c r="S105" i="3"/>
  <c r="R105" i="3"/>
  <c r="Q105" i="3"/>
  <c r="X61" i="3"/>
  <c r="W61" i="3"/>
  <c r="X16" i="3"/>
  <c r="W16" i="3"/>
  <c r="V61" i="3"/>
  <c r="U61" i="3"/>
  <c r="V16" i="3"/>
  <c r="U16" i="3"/>
  <c r="T61" i="3"/>
  <c r="T16" i="3"/>
  <c r="S61" i="3"/>
  <c r="S16" i="3"/>
  <c r="R61" i="3"/>
  <c r="R16" i="3"/>
  <c r="Q61" i="3"/>
  <c r="Q16" i="3"/>
  <c r="I9" i="3"/>
  <c r="H335" i="3"/>
  <c r="I335" i="3"/>
  <c r="H334" i="3"/>
  <c r="I334" i="3"/>
  <c r="H330" i="3"/>
  <c r="H329" i="3"/>
  <c r="H326" i="3"/>
  <c r="H324" i="3"/>
  <c r="H318" i="3"/>
  <c r="N11" i="15"/>
  <c r="H317" i="3"/>
  <c r="H314" i="3"/>
  <c r="I313" i="3"/>
  <c r="H313" i="3"/>
  <c r="H312" i="3"/>
  <c r="H292" i="3"/>
  <c r="I292" i="3"/>
  <c r="H291" i="3"/>
  <c r="I291" i="3"/>
  <c r="H287" i="3"/>
  <c r="H286" i="3"/>
  <c r="H283" i="3"/>
  <c r="H281" i="3"/>
  <c r="H275" i="3"/>
  <c r="M11" i="15"/>
  <c r="H274" i="3"/>
  <c r="H271" i="3"/>
  <c r="I270" i="3"/>
  <c r="H270" i="3"/>
  <c r="H269" i="3"/>
  <c r="H249" i="3"/>
  <c r="I249" i="3"/>
  <c r="H248" i="3"/>
  <c r="I248" i="3"/>
  <c r="H244" i="3"/>
  <c r="H243" i="3"/>
  <c r="H240" i="3"/>
  <c r="H238" i="3"/>
  <c r="H232" i="3"/>
  <c r="L11" i="15"/>
  <c r="H231" i="3"/>
  <c r="H228" i="3"/>
  <c r="I227" i="3"/>
  <c r="H227" i="3"/>
  <c r="H226" i="3"/>
  <c r="H206" i="3"/>
  <c r="I206" i="3"/>
  <c r="H205" i="3"/>
  <c r="I205" i="3"/>
  <c r="H201" i="3"/>
  <c r="H200" i="3"/>
  <c r="H197" i="3"/>
  <c r="H195" i="3"/>
  <c r="H189" i="3"/>
  <c r="K11" i="15"/>
  <c r="H188" i="3"/>
  <c r="H185" i="3"/>
  <c r="I184" i="3"/>
  <c r="H184" i="3"/>
  <c r="H183" i="3"/>
  <c r="H163" i="3"/>
  <c r="I163" i="3"/>
  <c r="H162" i="3"/>
  <c r="I162" i="3"/>
  <c r="H158" i="3"/>
  <c r="H157" i="3"/>
  <c r="H154" i="3"/>
  <c r="H152" i="3"/>
  <c r="H146" i="3"/>
  <c r="J11" i="15"/>
  <c r="H145" i="3"/>
  <c r="H142" i="3"/>
  <c r="I141" i="3"/>
  <c r="H141" i="3"/>
  <c r="H140" i="3"/>
  <c r="H120" i="3"/>
  <c r="I120" i="3"/>
  <c r="H119" i="3"/>
  <c r="I119" i="3"/>
  <c r="H115" i="3"/>
  <c r="H114" i="3"/>
  <c r="H111" i="3"/>
  <c r="H109" i="3"/>
  <c r="H103" i="3"/>
  <c r="I11" i="15"/>
  <c r="H102" i="3"/>
  <c r="H99" i="3"/>
  <c r="I98" i="3"/>
  <c r="H98" i="3"/>
  <c r="H97" i="3"/>
  <c r="H76" i="3"/>
  <c r="I76" i="3"/>
  <c r="H75" i="3"/>
  <c r="I75" i="3"/>
  <c r="H71" i="3"/>
  <c r="H70" i="3"/>
  <c r="H67" i="3"/>
  <c r="H65" i="3"/>
  <c r="AA67" i="3"/>
  <c r="AB67" i="3"/>
  <c r="AB76" i="3"/>
  <c r="C85" i="3"/>
  <c r="H59" i="3"/>
  <c r="H11" i="15"/>
  <c r="H58" i="3"/>
  <c r="H55" i="3"/>
  <c r="I54" i="3"/>
  <c r="H54" i="3"/>
  <c r="H53" i="3"/>
  <c r="H24" i="3"/>
  <c r="H23" i="3"/>
  <c r="H22" i="3"/>
  <c r="H20" i="3"/>
  <c r="H14" i="3"/>
  <c r="G11" i="15"/>
  <c r="H13" i="3"/>
  <c r="H10" i="3"/>
  <c r="H9" i="3"/>
  <c r="H8" i="3"/>
  <c r="B59" i="6"/>
  <c r="G32" i="4"/>
  <c r="B29" i="6"/>
  <c r="G31" i="4"/>
  <c r="N96" i="5"/>
  <c r="B93" i="5"/>
  <c r="B33" i="4"/>
  <c r="G9" i="4"/>
  <c r="W228" i="3"/>
  <c r="L7" i="15"/>
  <c r="I100" i="3"/>
  <c r="J100" i="3"/>
  <c r="I8" i="15"/>
  <c r="X140" i="3"/>
  <c r="J5" i="15"/>
  <c r="I158" i="3"/>
  <c r="J26" i="15"/>
  <c r="I194" i="3"/>
  <c r="X194" i="3"/>
  <c r="K20" i="15"/>
  <c r="I229" i="3"/>
  <c r="J229" i="3"/>
  <c r="L8" i="15"/>
  <c r="S269" i="3"/>
  <c r="M5" i="15"/>
  <c r="I287" i="3"/>
  <c r="M26" i="15"/>
  <c r="I323" i="3"/>
  <c r="S323" i="3"/>
  <c r="N20" i="15"/>
  <c r="T139" i="3"/>
  <c r="J4" i="15"/>
  <c r="Q102" i="3"/>
  <c r="I10" i="15"/>
  <c r="H147" i="3"/>
  <c r="J12" i="15"/>
  <c r="J6" i="15"/>
  <c r="X190" i="3"/>
  <c r="K21" i="15"/>
  <c r="S231" i="3"/>
  <c r="L10" i="15"/>
  <c r="H276" i="3"/>
  <c r="M12" i="15"/>
  <c r="M6" i="15"/>
  <c r="S319" i="3"/>
  <c r="N21" i="15"/>
  <c r="I197" i="3"/>
  <c r="K24" i="15"/>
  <c r="I326" i="3"/>
  <c r="N24" i="15"/>
  <c r="I193" i="3"/>
  <c r="T193" i="3"/>
  <c r="AA197" i="3"/>
  <c r="AB197" i="3"/>
  <c r="K19" i="15"/>
  <c r="I107" i="3"/>
  <c r="T107" i="3"/>
  <c r="I19" i="15"/>
  <c r="AA111" i="3"/>
  <c r="AB111" i="3"/>
  <c r="S311" i="3"/>
  <c r="N4" i="15"/>
  <c r="W183" i="3"/>
  <c r="K5" i="15"/>
  <c r="U104" i="3"/>
  <c r="I21" i="15"/>
  <c r="X145" i="3"/>
  <c r="J10" i="15"/>
  <c r="H190" i="3"/>
  <c r="K12" i="15"/>
  <c r="K6" i="15"/>
  <c r="W233" i="3"/>
  <c r="L21" i="15"/>
  <c r="H319" i="3"/>
  <c r="N12" i="15"/>
  <c r="N6" i="15"/>
  <c r="I286" i="3"/>
  <c r="M25" i="15"/>
  <c r="T142" i="3"/>
  <c r="J7" i="15"/>
  <c r="W271" i="3"/>
  <c r="M7" i="15"/>
  <c r="I143" i="3"/>
  <c r="J143" i="3"/>
  <c r="J8" i="15"/>
  <c r="I330" i="3"/>
  <c r="N26" i="15"/>
  <c r="I111" i="3"/>
  <c r="I24" i="15"/>
  <c r="I240" i="3"/>
  <c r="L24" i="15"/>
  <c r="I201" i="3"/>
  <c r="K26" i="15"/>
  <c r="X96" i="3"/>
  <c r="I4" i="15"/>
  <c r="I114" i="3"/>
  <c r="I25" i="15"/>
  <c r="I150" i="3"/>
  <c r="W150" i="3"/>
  <c r="J19" i="15"/>
  <c r="AA154" i="3"/>
  <c r="AB154" i="3"/>
  <c r="X185" i="3"/>
  <c r="K7" i="15"/>
  <c r="W225" i="3"/>
  <c r="L4" i="15"/>
  <c r="I243" i="3"/>
  <c r="L25" i="15"/>
  <c r="I279" i="3"/>
  <c r="W279" i="3"/>
  <c r="M19" i="15"/>
  <c r="AA283" i="3"/>
  <c r="AB283" i="3"/>
  <c r="S314" i="3"/>
  <c r="N7" i="15"/>
  <c r="X99" i="3"/>
  <c r="I7" i="15"/>
  <c r="I322" i="3"/>
  <c r="W322" i="3"/>
  <c r="N19" i="15"/>
  <c r="AA326" i="3"/>
  <c r="AB326" i="3"/>
  <c r="AB335" i="3"/>
  <c r="X182" i="3"/>
  <c r="K4" i="15"/>
  <c r="I329" i="3"/>
  <c r="N25" i="15"/>
  <c r="I108" i="3"/>
  <c r="X108" i="3"/>
  <c r="I20" i="15"/>
  <c r="I237" i="3"/>
  <c r="W237" i="3"/>
  <c r="L20" i="15"/>
  <c r="X97" i="3"/>
  <c r="I5" i="15"/>
  <c r="I115" i="3"/>
  <c r="I26" i="15"/>
  <c r="I151" i="3"/>
  <c r="T151" i="3"/>
  <c r="J20" i="15"/>
  <c r="I186" i="3"/>
  <c r="J186" i="3"/>
  <c r="K8" i="15"/>
  <c r="W226" i="3"/>
  <c r="L5" i="15"/>
  <c r="I244" i="3"/>
  <c r="L26" i="15"/>
  <c r="I280" i="3"/>
  <c r="X280" i="3"/>
  <c r="M20" i="15"/>
  <c r="I315" i="3"/>
  <c r="J315" i="3"/>
  <c r="N8" i="15"/>
  <c r="I157" i="3"/>
  <c r="J25" i="15"/>
  <c r="I200" i="3"/>
  <c r="K25" i="15"/>
  <c r="I272" i="3"/>
  <c r="J272" i="3"/>
  <c r="M8" i="15"/>
  <c r="H104" i="3"/>
  <c r="I12" i="15"/>
  <c r="I6" i="15"/>
  <c r="X147" i="3"/>
  <c r="J21" i="15"/>
  <c r="X188" i="3"/>
  <c r="K10" i="15"/>
  <c r="H233" i="3"/>
  <c r="L12" i="15"/>
  <c r="L6" i="15"/>
  <c r="W276" i="3"/>
  <c r="M21" i="15"/>
  <c r="W317" i="3"/>
  <c r="N10" i="15"/>
  <c r="W268" i="3"/>
  <c r="M4" i="15"/>
  <c r="I236" i="3"/>
  <c r="S236" i="3"/>
  <c r="AA240" i="3"/>
  <c r="AB240" i="3"/>
  <c r="L19" i="15"/>
  <c r="W312" i="3"/>
  <c r="N5" i="15"/>
  <c r="I154" i="3"/>
  <c r="J24" i="15"/>
  <c r="I283" i="3"/>
  <c r="M24" i="15"/>
  <c r="Q60" i="3"/>
  <c r="H21" i="15"/>
  <c r="R58" i="3"/>
  <c r="H10" i="15"/>
  <c r="D11" i="15"/>
  <c r="E11" i="15"/>
  <c r="E39" i="15"/>
  <c r="E38" i="15"/>
  <c r="N162" i="5"/>
  <c r="B159" i="5"/>
  <c r="E40" i="15"/>
  <c r="N393" i="5"/>
  <c r="B390" i="5"/>
  <c r="C39" i="4"/>
  <c r="N261" i="5"/>
  <c r="B258" i="5"/>
  <c r="B38" i="4"/>
  <c r="C33" i="4"/>
  <c r="N294" i="5"/>
  <c r="B291" i="5"/>
  <c r="B39" i="4"/>
  <c r="C34" i="4"/>
  <c r="E33" i="15"/>
  <c r="C40" i="4"/>
  <c r="E37" i="15"/>
  <c r="E32" i="15"/>
  <c r="C36" i="4"/>
  <c r="C42" i="4"/>
  <c r="E30" i="15"/>
  <c r="N195" i="5"/>
  <c r="B192" i="5"/>
  <c r="E34" i="15"/>
  <c r="B363" i="5"/>
  <c r="E31" i="15"/>
  <c r="C35" i="4"/>
  <c r="B231" i="5"/>
  <c r="E35" i="15"/>
  <c r="T15" i="3"/>
  <c r="G21" i="15"/>
  <c r="X13" i="3"/>
  <c r="G10" i="15"/>
  <c r="N63" i="5"/>
  <c r="B60" i="5"/>
  <c r="B32" i="4"/>
  <c r="C32" i="4"/>
  <c r="N30" i="5"/>
  <c r="B27" i="5"/>
  <c r="B31" i="4"/>
  <c r="W274" i="3"/>
  <c r="M10" i="15"/>
  <c r="E36" i="15"/>
  <c r="I24" i="3"/>
  <c r="G26" i="15"/>
  <c r="W9" i="3"/>
  <c r="G6" i="15"/>
  <c r="I23" i="3"/>
  <c r="G25" i="15"/>
  <c r="X10" i="3"/>
  <c r="G7" i="15"/>
  <c r="G8" i="15"/>
  <c r="W8" i="3"/>
  <c r="G5" i="15"/>
  <c r="I22" i="3"/>
  <c r="G24" i="15"/>
  <c r="I18" i="3"/>
  <c r="W18" i="3"/>
  <c r="G19" i="15"/>
  <c r="X7" i="3"/>
  <c r="G4" i="15"/>
  <c r="I19" i="3"/>
  <c r="G20" i="15"/>
  <c r="I56" i="3"/>
  <c r="J56" i="3"/>
  <c r="H8" i="15"/>
  <c r="I71" i="3"/>
  <c r="H26" i="15"/>
  <c r="I63" i="3"/>
  <c r="Q63" i="3"/>
  <c r="H19" i="15"/>
  <c r="Q53" i="3"/>
  <c r="H5" i="15"/>
  <c r="I64" i="3"/>
  <c r="Q64" i="3"/>
  <c r="H20" i="15"/>
  <c r="Q55" i="3"/>
  <c r="H7" i="15"/>
  <c r="I67" i="3"/>
  <c r="H24" i="15"/>
  <c r="Q52" i="3"/>
  <c r="H4" i="15"/>
  <c r="I70" i="3"/>
  <c r="H25" i="15"/>
  <c r="H60" i="3"/>
  <c r="H12" i="15"/>
  <c r="H6" i="15"/>
  <c r="C27" i="4"/>
  <c r="J169" i="7"/>
  <c r="B170" i="7"/>
  <c r="B65" i="4"/>
  <c r="J64" i="7"/>
  <c r="B65" i="7"/>
  <c r="B62" i="4"/>
  <c r="J204" i="7"/>
  <c r="B205" i="7"/>
  <c r="B66" i="4"/>
  <c r="J29" i="7"/>
  <c r="B30" i="7"/>
  <c r="J134" i="7"/>
  <c r="B135" i="7"/>
  <c r="B64" i="4"/>
  <c r="J99" i="7"/>
  <c r="B100" i="7"/>
  <c r="B63" i="4"/>
  <c r="J274" i="7"/>
  <c r="B275" i="7"/>
  <c r="B68" i="4"/>
  <c r="J239" i="7"/>
  <c r="B240" i="7"/>
  <c r="B67" i="4"/>
  <c r="I85" i="6"/>
  <c r="B86" i="6"/>
  <c r="F33" i="4"/>
  <c r="I55" i="6"/>
  <c r="B56" i="6"/>
  <c r="F32" i="4"/>
  <c r="B396" i="5"/>
  <c r="B42" i="4"/>
  <c r="B297" i="5"/>
  <c r="B37" i="4"/>
  <c r="B35" i="4"/>
  <c r="N327" i="5"/>
  <c r="B324" i="5"/>
  <c r="N129" i="5"/>
  <c r="B126" i="5"/>
  <c r="X313" i="3"/>
  <c r="T311" i="3"/>
  <c r="S226" i="3"/>
  <c r="S268" i="3"/>
  <c r="T231" i="3"/>
  <c r="T269" i="3"/>
  <c r="V9" i="3"/>
  <c r="X233" i="3"/>
  <c r="S276" i="3"/>
  <c r="S317" i="3"/>
  <c r="Q190" i="3"/>
  <c r="V15" i="3"/>
  <c r="U145" i="3"/>
  <c r="U188" i="3"/>
  <c r="X225" i="3"/>
  <c r="X268" i="3"/>
  <c r="Q147" i="3"/>
  <c r="R102" i="3"/>
  <c r="T147" i="3"/>
  <c r="T190" i="3"/>
  <c r="X226" i="3"/>
  <c r="W269" i="3"/>
  <c r="X317" i="3"/>
  <c r="Q9" i="3"/>
  <c r="T10" i="3"/>
  <c r="U102" i="3"/>
  <c r="T228" i="3"/>
  <c r="S271" i="3"/>
  <c r="T319" i="3"/>
  <c r="X228" i="3"/>
  <c r="X271" i="3"/>
  <c r="W319" i="3"/>
  <c r="T58" i="3"/>
  <c r="W10" i="3"/>
  <c r="T279" i="3"/>
  <c r="W15" i="3"/>
  <c r="X279" i="3"/>
  <c r="W7" i="3"/>
  <c r="T225" i="3"/>
  <c r="U10" i="3"/>
  <c r="X9" i="3"/>
  <c r="W231" i="3"/>
  <c r="X276" i="3"/>
  <c r="W311" i="3"/>
  <c r="U15" i="3"/>
  <c r="X15" i="3"/>
  <c r="T233" i="3"/>
  <c r="S313" i="3"/>
  <c r="V139" i="3"/>
  <c r="U185" i="3"/>
  <c r="T227" i="3"/>
  <c r="X270" i="3"/>
  <c r="X274" i="3"/>
  <c r="X312" i="3"/>
  <c r="T314" i="3"/>
  <c r="S102" i="3"/>
  <c r="W104" i="3"/>
  <c r="T140" i="3"/>
  <c r="R147" i="3"/>
  <c r="R190" i="3"/>
  <c r="Q226" i="3"/>
  <c r="U227" i="3"/>
  <c r="U231" i="3"/>
  <c r="U236" i="3"/>
  <c r="Q268" i="3"/>
  <c r="U269" i="3"/>
  <c r="Q271" i="3"/>
  <c r="Q276" i="3"/>
  <c r="U311" i="3"/>
  <c r="Q313" i="3"/>
  <c r="U314" i="3"/>
  <c r="Q317" i="3"/>
  <c r="U319" i="3"/>
  <c r="V104" i="3"/>
  <c r="R60" i="3"/>
  <c r="S58" i="3"/>
  <c r="U13" i="3"/>
  <c r="W13" i="3"/>
  <c r="T102" i="3"/>
  <c r="X104" i="3"/>
  <c r="V142" i="3"/>
  <c r="S147" i="3"/>
  <c r="S190" i="3"/>
  <c r="R226" i="3"/>
  <c r="V227" i="3"/>
  <c r="V231" i="3"/>
  <c r="V236" i="3"/>
  <c r="R268" i="3"/>
  <c r="V269" i="3"/>
  <c r="R271" i="3"/>
  <c r="R276" i="3"/>
  <c r="V311" i="3"/>
  <c r="R313" i="3"/>
  <c r="V314" i="3"/>
  <c r="R317" i="3"/>
  <c r="V319" i="3"/>
  <c r="W314" i="3"/>
  <c r="W323" i="3"/>
  <c r="R7" i="3"/>
  <c r="S7" i="3"/>
  <c r="T60" i="3"/>
  <c r="U58" i="3"/>
  <c r="W58" i="3"/>
  <c r="V102" i="3"/>
  <c r="Q145" i="3"/>
  <c r="U147" i="3"/>
  <c r="R150" i="3"/>
  <c r="Q188" i="3"/>
  <c r="U190" i="3"/>
  <c r="T226" i="3"/>
  <c r="X227" i="3"/>
  <c r="X231" i="3"/>
  <c r="X236" i="3"/>
  <c r="T268" i="3"/>
  <c r="X269" i="3"/>
  <c r="T271" i="3"/>
  <c r="T276" i="3"/>
  <c r="X311" i="3"/>
  <c r="T313" i="3"/>
  <c r="X314" i="3"/>
  <c r="T317" i="3"/>
  <c r="X319" i="3"/>
  <c r="W227" i="3"/>
  <c r="Q7" i="3"/>
  <c r="R8" i="3"/>
  <c r="S8" i="3"/>
  <c r="T7" i="3"/>
  <c r="U60" i="3"/>
  <c r="X58" i="3"/>
  <c r="W102" i="3"/>
  <c r="R145" i="3"/>
  <c r="V147" i="3"/>
  <c r="X150" i="3"/>
  <c r="R188" i="3"/>
  <c r="V190" i="3"/>
  <c r="Q225" i="3"/>
  <c r="U226" i="3"/>
  <c r="Q228" i="3"/>
  <c r="Q233" i="3"/>
  <c r="Q237" i="3"/>
  <c r="U268" i="3"/>
  <c r="Q270" i="3"/>
  <c r="U271" i="3"/>
  <c r="Q274" i="3"/>
  <c r="U276" i="3"/>
  <c r="Q279" i="3"/>
  <c r="Q312" i="3"/>
  <c r="U313" i="3"/>
  <c r="U317" i="3"/>
  <c r="S60" i="3"/>
  <c r="Q10" i="3"/>
  <c r="R9" i="3"/>
  <c r="S9" i="3"/>
  <c r="T8" i="3"/>
  <c r="U7" i="3"/>
  <c r="W60" i="3"/>
  <c r="X102" i="3"/>
  <c r="S145" i="3"/>
  <c r="W147" i="3"/>
  <c r="S188" i="3"/>
  <c r="W190" i="3"/>
  <c r="R225" i="3"/>
  <c r="V226" i="3"/>
  <c r="R228" i="3"/>
  <c r="R233" i="3"/>
  <c r="V268" i="3"/>
  <c r="R270" i="3"/>
  <c r="V271" i="3"/>
  <c r="R274" i="3"/>
  <c r="V276" i="3"/>
  <c r="R279" i="3"/>
  <c r="V280" i="3"/>
  <c r="R312" i="3"/>
  <c r="V313" i="3"/>
  <c r="V317" i="3"/>
  <c r="Q8" i="3"/>
  <c r="R10" i="3"/>
  <c r="S10" i="3"/>
  <c r="T9" i="3"/>
  <c r="V7" i="3"/>
  <c r="V8" i="3"/>
  <c r="V58" i="3"/>
  <c r="X8" i="3"/>
  <c r="X60" i="3"/>
  <c r="Q104" i="3"/>
  <c r="T145" i="3"/>
  <c r="T182" i="3"/>
  <c r="T188" i="3"/>
  <c r="S225" i="3"/>
  <c r="S228" i="3"/>
  <c r="S233" i="3"/>
  <c r="S237" i="3"/>
  <c r="S270" i="3"/>
  <c r="S274" i="3"/>
  <c r="S279" i="3"/>
  <c r="S312" i="3"/>
  <c r="W313" i="3"/>
  <c r="T274" i="3"/>
  <c r="T312" i="3"/>
  <c r="T270" i="3"/>
  <c r="R13" i="3"/>
  <c r="S13" i="3"/>
  <c r="V10" i="3"/>
  <c r="S104" i="3"/>
  <c r="V145" i="3"/>
  <c r="R183" i="3"/>
  <c r="V188" i="3"/>
  <c r="U225" i="3"/>
  <c r="Q227" i="3"/>
  <c r="U228" i="3"/>
  <c r="Q231" i="3"/>
  <c r="U233" i="3"/>
  <c r="U237" i="3"/>
  <c r="Q269" i="3"/>
  <c r="U270" i="3"/>
  <c r="U274" i="3"/>
  <c r="U279" i="3"/>
  <c r="Q311" i="3"/>
  <c r="U312" i="3"/>
  <c r="Q314" i="3"/>
  <c r="Q319" i="3"/>
  <c r="U182" i="3"/>
  <c r="Q13" i="3"/>
  <c r="R15" i="3"/>
  <c r="S15" i="3"/>
  <c r="T13" i="3"/>
  <c r="U8" i="3"/>
  <c r="T97" i="3"/>
  <c r="T104" i="3"/>
  <c r="W145" i="3"/>
  <c r="X183" i="3"/>
  <c r="W188" i="3"/>
  <c r="V225" i="3"/>
  <c r="R227" i="3"/>
  <c r="V228" i="3"/>
  <c r="R231" i="3"/>
  <c r="V233" i="3"/>
  <c r="R236" i="3"/>
  <c r="R269" i="3"/>
  <c r="V270" i="3"/>
  <c r="V274" i="3"/>
  <c r="V279" i="3"/>
  <c r="R311" i="3"/>
  <c r="V312" i="3"/>
  <c r="R314" i="3"/>
  <c r="R319" i="3"/>
  <c r="V60" i="3"/>
  <c r="R104" i="3"/>
  <c r="Q15" i="3"/>
  <c r="U9" i="3"/>
  <c r="V13" i="3"/>
  <c r="X107" i="3"/>
  <c r="T185" i="3"/>
  <c r="S227" i="3"/>
  <c r="W270" i="3"/>
  <c r="Q183" i="3"/>
  <c r="U184" i="3"/>
  <c r="U193" i="3"/>
  <c r="T183" i="3"/>
  <c r="X184" i="3"/>
  <c r="X193" i="3"/>
  <c r="V184" i="3"/>
  <c r="W184" i="3"/>
  <c r="Q182" i="3"/>
  <c r="U183" i="3"/>
  <c r="Q185" i="3"/>
  <c r="W193" i="3"/>
  <c r="R182" i="3"/>
  <c r="V183" i="3"/>
  <c r="R185" i="3"/>
  <c r="V193" i="3"/>
  <c r="S183" i="3"/>
  <c r="S182" i="3"/>
  <c r="S185" i="3"/>
  <c r="V182" i="3"/>
  <c r="R184" i="3"/>
  <c r="V185" i="3"/>
  <c r="R193" i="3"/>
  <c r="Q184" i="3"/>
  <c r="Q193" i="3"/>
  <c r="W182" i="3"/>
  <c r="S184" i="3"/>
  <c r="W185" i="3"/>
  <c r="S193" i="3"/>
  <c r="T184" i="3"/>
  <c r="U139" i="3"/>
  <c r="Q141" i="3"/>
  <c r="U142" i="3"/>
  <c r="Q150" i="3"/>
  <c r="W139" i="3"/>
  <c r="S141" i="3"/>
  <c r="W142" i="3"/>
  <c r="S150" i="3"/>
  <c r="X139" i="3"/>
  <c r="T141" i="3"/>
  <c r="X142" i="3"/>
  <c r="T150" i="3"/>
  <c r="Q140" i="3"/>
  <c r="U141" i="3"/>
  <c r="U150" i="3"/>
  <c r="R141" i="3"/>
  <c r="R140" i="3"/>
  <c r="V141" i="3"/>
  <c r="V150" i="3"/>
  <c r="S140" i="3"/>
  <c r="W141" i="3"/>
  <c r="X141" i="3"/>
  <c r="Q139" i="3"/>
  <c r="U140" i="3"/>
  <c r="Q142" i="3"/>
  <c r="R139" i="3"/>
  <c r="V140" i="3"/>
  <c r="R142" i="3"/>
  <c r="S139" i="3"/>
  <c r="W140" i="3"/>
  <c r="S142" i="3"/>
  <c r="W54" i="3"/>
  <c r="X52" i="3"/>
  <c r="V53" i="3"/>
  <c r="X53" i="3"/>
  <c r="Q97" i="3"/>
  <c r="U98" i="3"/>
  <c r="R97" i="3"/>
  <c r="V98" i="3"/>
  <c r="S97" i="3"/>
  <c r="W98" i="3"/>
  <c r="Q96" i="3"/>
  <c r="U97" i="3"/>
  <c r="Q99" i="3"/>
  <c r="Q108" i="3"/>
  <c r="X98" i="3"/>
  <c r="R96" i="3"/>
  <c r="V97" i="3"/>
  <c r="R99" i="3"/>
  <c r="S96" i="3"/>
  <c r="W97" i="3"/>
  <c r="S99" i="3"/>
  <c r="S108" i="3"/>
  <c r="T96" i="3"/>
  <c r="T99" i="3"/>
  <c r="U96" i="3"/>
  <c r="Q98" i="3"/>
  <c r="U99" i="3"/>
  <c r="Q107" i="3"/>
  <c r="V96" i="3"/>
  <c r="R98" i="3"/>
  <c r="V99" i="3"/>
  <c r="V108" i="3"/>
  <c r="W96" i="3"/>
  <c r="S98" i="3"/>
  <c r="W99" i="3"/>
  <c r="S107" i="3"/>
  <c r="T98" i="3"/>
  <c r="V52" i="3"/>
  <c r="V55" i="3"/>
  <c r="V54" i="3"/>
  <c r="W52" i="3"/>
  <c r="W53" i="3"/>
  <c r="X54" i="3"/>
  <c r="W55" i="3"/>
  <c r="X55" i="3"/>
  <c r="U52" i="3"/>
  <c r="U53" i="3"/>
  <c r="U54" i="3"/>
  <c r="U55" i="3"/>
  <c r="T52" i="3"/>
  <c r="T53" i="3"/>
  <c r="T54" i="3"/>
  <c r="T55" i="3"/>
  <c r="S52" i="3"/>
  <c r="S53" i="3"/>
  <c r="S54" i="3"/>
  <c r="S55" i="3"/>
  <c r="R52" i="3"/>
  <c r="Q58" i="3"/>
  <c r="R53" i="3"/>
  <c r="R54" i="3"/>
  <c r="R55" i="3"/>
  <c r="Q54" i="3"/>
  <c r="H273" i="3"/>
  <c r="M9" i="15"/>
  <c r="H144" i="3"/>
  <c r="J9" i="15"/>
  <c r="H187" i="3"/>
  <c r="K9" i="15"/>
  <c r="H316" i="3"/>
  <c r="N9" i="15"/>
  <c r="H101" i="3"/>
  <c r="I9" i="15"/>
  <c r="H230" i="3"/>
  <c r="L9" i="15"/>
  <c r="H57" i="3"/>
  <c r="H9" i="15"/>
  <c r="I11" i="3"/>
  <c r="J11" i="3"/>
  <c r="H15" i="3"/>
  <c r="G12" i="15"/>
  <c r="H12" i="3"/>
  <c r="G9" i="15"/>
  <c r="G40" i="4"/>
  <c r="G42" i="4"/>
  <c r="G44" i="4"/>
  <c r="G46" i="4"/>
  <c r="V323" i="3"/>
  <c r="U323" i="3"/>
  <c r="R323" i="3"/>
  <c r="Q323" i="3"/>
  <c r="T323" i="3"/>
  <c r="X323" i="3"/>
  <c r="G13" i="4"/>
  <c r="G14" i="4"/>
  <c r="G12" i="4"/>
  <c r="G11" i="4"/>
  <c r="G10" i="4"/>
  <c r="G15" i="4"/>
  <c r="G8" i="4"/>
  <c r="R229" i="3"/>
  <c r="S229" i="3"/>
  <c r="T229" i="3"/>
  <c r="X229" i="3"/>
  <c r="U229" i="3"/>
  <c r="U254" i="3"/>
  <c r="R260" i="3"/>
  <c r="V229" i="3"/>
  <c r="Q229" i="3"/>
  <c r="W229" i="3"/>
  <c r="R315" i="3"/>
  <c r="S315" i="3"/>
  <c r="T315" i="3"/>
  <c r="U315" i="3"/>
  <c r="V315" i="3"/>
  <c r="W315" i="3"/>
  <c r="X315" i="3"/>
  <c r="Q315" i="3"/>
  <c r="Q56" i="3"/>
  <c r="Q81" i="3"/>
  <c r="R56" i="3"/>
  <c r="S56" i="3"/>
  <c r="T56" i="3"/>
  <c r="U56" i="3"/>
  <c r="X56" i="3"/>
  <c r="V56" i="3"/>
  <c r="W56" i="3"/>
  <c r="V272" i="3"/>
  <c r="V297" i="3"/>
  <c r="R304" i="3"/>
  <c r="W272" i="3"/>
  <c r="X272" i="3"/>
  <c r="U272" i="3"/>
  <c r="Q272" i="3"/>
  <c r="T272" i="3"/>
  <c r="R272" i="3"/>
  <c r="S272" i="3"/>
  <c r="V100" i="3"/>
  <c r="W100" i="3"/>
  <c r="X100" i="3"/>
  <c r="X125" i="3"/>
  <c r="R134" i="3"/>
  <c r="Q100" i="3"/>
  <c r="Q125" i="3"/>
  <c r="U100" i="3"/>
  <c r="R100" i="3"/>
  <c r="T100" i="3"/>
  <c r="S100" i="3"/>
  <c r="S125" i="3"/>
  <c r="R129" i="3"/>
  <c r="R186" i="3"/>
  <c r="S186" i="3"/>
  <c r="T186" i="3"/>
  <c r="U186" i="3"/>
  <c r="V186" i="3"/>
  <c r="W186" i="3"/>
  <c r="X186" i="3"/>
  <c r="X211" i="3"/>
  <c r="R220" i="3"/>
  <c r="Q186" i="3"/>
  <c r="C37" i="4"/>
  <c r="B198" i="5"/>
  <c r="X11" i="3"/>
  <c r="Q11" i="3"/>
  <c r="R11" i="3"/>
  <c r="S11" i="3"/>
  <c r="T11" i="3"/>
  <c r="U11" i="3"/>
  <c r="V11" i="3"/>
  <c r="W11" i="3"/>
  <c r="R143" i="3"/>
  <c r="S143" i="3"/>
  <c r="V143" i="3"/>
  <c r="T143" i="3"/>
  <c r="T168" i="3"/>
  <c r="R173" i="3"/>
  <c r="U143" i="3"/>
  <c r="W143" i="3"/>
  <c r="X143" i="3"/>
  <c r="Q143" i="3"/>
  <c r="R237" i="3"/>
  <c r="V237" i="3"/>
  <c r="V254" i="3"/>
  <c r="R261" i="3"/>
  <c r="R107" i="3"/>
  <c r="U107" i="3"/>
  <c r="U108" i="3"/>
  <c r="W108" i="3"/>
  <c r="R108" i="3"/>
  <c r="W107" i="3"/>
  <c r="T108" i="3"/>
  <c r="V107" i="3"/>
  <c r="U280" i="3"/>
  <c r="R280" i="3"/>
  <c r="R297" i="3"/>
  <c r="R300" i="3"/>
  <c r="W280" i="3"/>
  <c r="W297" i="3"/>
  <c r="R305" i="3"/>
  <c r="W236" i="3"/>
  <c r="W254" i="3"/>
  <c r="R262" i="3"/>
  <c r="Q236" i="3"/>
  <c r="Q254" i="3"/>
  <c r="T280" i="3"/>
  <c r="T297" i="3"/>
  <c r="R302" i="3"/>
  <c r="S280" i="3"/>
  <c r="Q280" i="3"/>
  <c r="T236" i="3"/>
  <c r="U322" i="3"/>
  <c r="T194" i="3"/>
  <c r="Q322" i="3"/>
  <c r="Q340" i="3"/>
  <c r="W194" i="3"/>
  <c r="U194" i="3"/>
  <c r="S194" i="3"/>
  <c r="S211" i="3"/>
  <c r="R215" i="3"/>
  <c r="Q194" i="3"/>
  <c r="X322" i="3"/>
  <c r="S322" i="3"/>
  <c r="S340" i="3"/>
  <c r="R344" i="3"/>
  <c r="R322" i="3"/>
  <c r="V322" i="3"/>
  <c r="T322" i="3"/>
  <c r="V194" i="3"/>
  <c r="R194" i="3"/>
  <c r="X237" i="3"/>
  <c r="X254" i="3"/>
  <c r="R263" i="3"/>
  <c r="T237" i="3"/>
  <c r="V151" i="3"/>
  <c r="W151" i="3"/>
  <c r="Q151" i="3"/>
  <c r="Q168" i="3"/>
  <c r="D7" i="15"/>
  <c r="E7" i="15"/>
  <c r="U151" i="3"/>
  <c r="X151" i="3"/>
  <c r="R151" i="3"/>
  <c r="S151" i="3"/>
  <c r="D26" i="15"/>
  <c r="E26" i="15"/>
  <c r="D6" i="15"/>
  <c r="E6" i="15"/>
  <c r="B33" i="5"/>
  <c r="D10" i="15"/>
  <c r="E10" i="15"/>
  <c r="W19" i="3"/>
  <c r="Q19" i="3"/>
  <c r="D21" i="15"/>
  <c r="E21" i="15"/>
  <c r="U64" i="3"/>
  <c r="W64" i="3"/>
  <c r="S63" i="3"/>
  <c r="W63" i="3"/>
  <c r="B99" i="5"/>
  <c r="B165" i="5"/>
  <c r="B36" i="4"/>
  <c r="B264" i="5"/>
  <c r="C41" i="4"/>
  <c r="C38" i="4"/>
  <c r="B66" i="5"/>
  <c r="C31" i="4"/>
  <c r="T18" i="3"/>
  <c r="X64" i="3"/>
  <c r="V64" i="3"/>
  <c r="S64" i="3"/>
  <c r="T64" i="3"/>
  <c r="R18" i="3"/>
  <c r="S18" i="3"/>
  <c r="D24" i="15"/>
  <c r="E24" i="15"/>
  <c r="V63" i="3"/>
  <c r="T63" i="3"/>
  <c r="U63" i="3"/>
  <c r="X63" i="3"/>
  <c r="R63" i="3"/>
  <c r="U19" i="3"/>
  <c r="S19" i="3"/>
  <c r="D25" i="15"/>
  <c r="E25" i="15"/>
  <c r="D4" i="15"/>
  <c r="E4" i="15"/>
  <c r="R64" i="3"/>
  <c r="V18" i="3"/>
  <c r="U18" i="3"/>
  <c r="Q18" i="3"/>
  <c r="X18" i="3"/>
  <c r="R19" i="3"/>
  <c r="D19" i="15"/>
  <c r="E19" i="15"/>
  <c r="D20" i="15"/>
  <c r="E20" i="15"/>
  <c r="D5" i="15"/>
  <c r="E5" i="15"/>
  <c r="D8" i="15"/>
  <c r="E8" i="15"/>
  <c r="D9" i="15"/>
  <c r="E9" i="15"/>
  <c r="X19" i="3"/>
  <c r="D12" i="15"/>
  <c r="E12" i="15"/>
  <c r="T19" i="3"/>
  <c r="V19" i="3"/>
  <c r="F40" i="4"/>
  <c r="F42" i="4"/>
  <c r="F44" i="4"/>
  <c r="C70" i="4"/>
  <c r="C72" i="4"/>
  <c r="C74" i="4"/>
  <c r="C76" i="4"/>
  <c r="B61" i="4"/>
  <c r="B70" i="4"/>
  <c r="B72" i="4"/>
  <c r="B74" i="4"/>
  <c r="B330" i="5"/>
  <c r="B40" i="4"/>
  <c r="B132" i="5"/>
  <c r="B34" i="4"/>
  <c r="X297" i="3"/>
  <c r="R306" i="3"/>
  <c r="W340" i="3"/>
  <c r="R348" i="3"/>
  <c r="S254" i="3"/>
  <c r="R258" i="3"/>
  <c r="T125" i="3"/>
  <c r="R130" i="3"/>
  <c r="R340" i="3"/>
  <c r="R343" i="3"/>
  <c r="S297" i="3"/>
  <c r="R301" i="3"/>
  <c r="R254" i="3"/>
  <c r="R257" i="3"/>
  <c r="Q297" i="3"/>
  <c r="R299" i="3"/>
  <c r="W125" i="3"/>
  <c r="R133" i="3"/>
  <c r="X340" i="3"/>
  <c r="R349" i="3"/>
  <c r="W168" i="3"/>
  <c r="R176" i="3"/>
  <c r="U125" i="3"/>
  <c r="R131" i="3"/>
  <c r="R125" i="3"/>
  <c r="R128" i="3"/>
  <c r="V340" i="3"/>
  <c r="R347" i="3"/>
  <c r="V168" i="3"/>
  <c r="R175" i="3"/>
  <c r="G21" i="4"/>
  <c r="G23" i="4"/>
  <c r="G25" i="4"/>
  <c r="G27" i="4"/>
  <c r="U297" i="3"/>
  <c r="R303" i="3"/>
  <c r="U211" i="3"/>
  <c r="R217" i="3"/>
  <c r="W211" i="3"/>
  <c r="R219" i="3"/>
  <c r="R211" i="3"/>
  <c r="R214" i="3"/>
  <c r="Q211" i="3"/>
  <c r="R213" i="3"/>
  <c r="V125" i="3"/>
  <c r="R132" i="3"/>
  <c r="T211" i="3"/>
  <c r="R216" i="3"/>
  <c r="V211" i="3"/>
  <c r="R218" i="3"/>
  <c r="U340" i="3"/>
  <c r="R346" i="3"/>
  <c r="R168" i="3"/>
  <c r="R171" i="3"/>
  <c r="T340" i="3"/>
  <c r="R345" i="3"/>
  <c r="C44" i="4"/>
  <c r="W30" i="3"/>
  <c r="R38" i="3"/>
  <c r="X168" i="3"/>
  <c r="R177" i="3"/>
  <c r="U168" i="3"/>
  <c r="R174" i="3"/>
  <c r="S168" i="3"/>
  <c r="R172" i="3"/>
  <c r="T254" i="3"/>
  <c r="R259" i="3"/>
  <c r="S81" i="3"/>
  <c r="R85" i="3"/>
  <c r="T30" i="3"/>
  <c r="R35" i="3"/>
  <c r="S30" i="3"/>
  <c r="R34" i="3"/>
  <c r="Q30" i="3"/>
  <c r="R32" i="3"/>
  <c r="V30" i="3"/>
  <c r="R37" i="3"/>
  <c r="R30" i="3"/>
  <c r="R33" i="3"/>
  <c r="U30" i="3"/>
  <c r="R36" i="3"/>
  <c r="U81" i="3"/>
  <c r="R87" i="3"/>
  <c r="R81" i="3"/>
  <c r="R84" i="3"/>
  <c r="W81" i="3"/>
  <c r="R89" i="3"/>
  <c r="V81" i="3"/>
  <c r="R88" i="3"/>
  <c r="X81" i="3"/>
  <c r="R90" i="3"/>
  <c r="T81" i="3"/>
  <c r="R86" i="3"/>
  <c r="B44" i="4"/>
  <c r="X30" i="3"/>
  <c r="R39" i="3"/>
  <c r="C82" i="3"/>
  <c r="F9" i="4"/>
  <c r="R127" i="3"/>
  <c r="R170" i="3"/>
  <c r="R256" i="3"/>
  <c r="R342" i="3"/>
  <c r="R83" i="3"/>
  <c r="C37" i="3"/>
  <c r="F8" i="4"/>
  <c r="B46" i="4"/>
  <c r="B48" i="4"/>
  <c r="B120" i="4"/>
  <c r="C46" i="4"/>
  <c r="C48" i="4"/>
  <c r="C341" i="3"/>
  <c r="F15" i="4"/>
  <c r="C212" i="3"/>
  <c r="F12" i="4"/>
  <c r="C169" i="3"/>
  <c r="F11" i="4"/>
  <c r="C298" i="3"/>
  <c r="F14" i="4"/>
  <c r="C255" i="3"/>
  <c r="F13" i="4"/>
  <c r="C126" i="3"/>
  <c r="F10" i="4"/>
  <c r="B125" i="4"/>
  <c r="C50" i="4"/>
  <c r="F78" i="4"/>
  <c r="C18" i="13"/>
  <c r="E12" i="16"/>
  <c r="F21" i="4"/>
  <c r="C10" i="4"/>
  <c r="C12" i="4"/>
  <c r="C14" i="4"/>
  <c r="C120" i="4"/>
  <c r="B122" i="4"/>
  <c r="F23" i="4"/>
  <c r="F25" i="4"/>
  <c r="C19" i="13"/>
  <c r="C125" i="4"/>
  <c r="C21" i="13"/>
  <c r="C41" i="13"/>
  <c r="E13" i="16"/>
  <c r="E11" i="16"/>
  <c r="B127" i="4"/>
  <c r="B129" i="4"/>
  <c r="B131" i="4"/>
  <c r="E30" i="16"/>
  <c r="J8" i="16"/>
  <c r="K8" i="16"/>
  <c r="L8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65B22E-12BB-478B-9361-68BEE5607A38}" keepAlive="1" name="Kysely – 8498481 (1)" description="Yhteys kyselyyn 8498481 (1) työkirjassa." type="5" refreshedVersion="8" background="1" saveData="1">
    <dbPr connection="Provider=Microsoft.Mashup.OleDb.1;Data Source=$Workbook$;Location=&quot;8498481 (1)&quot;;Extended Properties=&quot;&quot;" command="SELECT * FROM [8498481 (1)]"/>
  </connection>
</connections>
</file>

<file path=xl/sharedStrings.xml><?xml version="1.0" encoding="utf-8"?>
<sst xmlns="http://schemas.openxmlformats.org/spreadsheetml/2006/main" count="3962" uniqueCount="657">
  <si>
    <t>SEINÄN RAKENNUS</t>
  </si>
  <si>
    <t>K-600</t>
  </si>
  <si>
    <t>Neliöt</t>
  </si>
  <si>
    <t>määrä</t>
  </si>
  <si>
    <t>1-kertanen</t>
  </si>
  <si>
    <t>Levy, m2</t>
  </si>
  <si>
    <t>2-kertanen</t>
  </si>
  <si>
    <t>Ranka, m</t>
  </si>
  <si>
    <t>Otsa max 600</t>
  </si>
  <si>
    <t>Alakisko, seinä, m / otsat max 600, m</t>
  </si>
  <si>
    <t>K-300</t>
  </si>
  <si>
    <t>Villa, m2</t>
  </si>
  <si>
    <t>1-kertainen</t>
  </si>
  <si>
    <t>Ruuvit, kpl / 1000 kpl pkt</t>
  </si>
  <si>
    <t>2-kertainen</t>
  </si>
  <si>
    <t>Runkokiinnike, kpl</t>
  </si>
  <si>
    <t>Ovivahvike ruuvit, kpl</t>
  </si>
  <si>
    <t>Kertopiuurunko, kiinnikkeet esim hobau 90mm, kpl</t>
  </si>
  <si>
    <t>kpl</t>
  </si>
  <si>
    <t>SAUMAUS</t>
  </si>
  <si>
    <t>Litrat</t>
  </si>
  <si>
    <t>10l purkki</t>
  </si>
  <si>
    <t>Ovi, max M10</t>
  </si>
  <si>
    <t>J</t>
  </si>
  <si>
    <t>LF</t>
  </si>
  <si>
    <t>Pituus</t>
  </si>
  <si>
    <t>Korkeus</t>
  </si>
  <si>
    <t>YLITASOITUS, 2mm kerros</t>
  </si>
  <si>
    <t>kg</t>
  </si>
  <si>
    <t>20kg säkki</t>
  </si>
  <si>
    <t>L</t>
  </si>
  <si>
    <t>LR+</t>
  </si>
  <si>
    <t>LF tai vastaava viimeistely, l / 10l purkki</t>
  </si>
  <si>
    <t>MAALI</t>
  </si>
  <si>
    <t>18l purkki</t>
  </si>
  <si>
    <t>Pohjamaali</t>
  </si>
  <si>
    <t>Pintamaali</t>
  </si>
  <si>
    <t>GN</t>
  </si>
  <si>
    <t>GEK</t>
  </si>
  <si>
    <t>Saneerauskipsi 6MM</t>
  </si>
  <si>
    <t>66 ranka</t>
  </si>
  <si>
    <t>66 alakisko</t>
  </si>
  <si>
    <t>66 kertopuu</t>
  </si>
  <si>
    <t>95 ranka</t>
  </si>
  <si>
    <t>95 alakisko</t>
  </si>
  <si>
    <t>92 keropuu</t>
  </si>
  <si>
    <t>Väliseinävilla</t>
  </si>
  <si>
    <t>120 ranka</t>
  </si>
  <si>
    <t>120 alakisko</t>
  </si>
  <si>
    <t>XR66 ranka</t>
  </si>
  <si>
    <t>Acounomic 66 kisko</t>
  </si>
  <si>
    <t>XR95 ranka</t>
  </si>
  <si>
    <t>Acounomic 95 kisko</t>
  </si>
  <si>
    <t>Teknos J</t>
  </si>
  <si>
    <t>Teknos LF</t>
  </si>
  <si>
    <t>EK - 90 LPR</t>
  </si>
  <si>
    <t>EK - 66 LPR</t>
  </si>
  <si>
    <t>EK - 66 XR</t>
  </si>
  <si>
    <t>EK - 90 XR</t>
  </si>
  <si>
    <t>EK+VANERI- 66 LPR</t>
  </si>
  <si>
    <t>12mm havuvaneri</t>
  </si>
  <si>
    <t>EK+VANERI- 90 LPR</t>
  </si>
  <si>
    <t>EK+VANERI- 66 XR</t>
  </si>
  <si>
    <t>EK+VANERI- 90 XR</t>
  </si>
  <si>
    <t>Spit pulsa naula + kaasu</t>
  </si>
  <si>
    <t>Hobarit 90mm</t>
  </si>
  <si>
    <t>Hinta, Materiaalit</t>
  </si>
  <si>
    <t>Kate</t>
  </si>
  <si>
    <t>Akryyli</t>
  </si>
  <si>
    <t>jm</t>
  </si>
  <si>
    <t>Vahvike, kertop.</t>
  </si>
  <si>
    <t>Vahvike, esim kertopuu, metrit</t>
  </si>
  <si>
    <t>esim. lasiaukko</t>
  </si>
  <si>
    <t>tiivistykset, läpiviennit</t>
  </si>
  <si>
    <t>VÄLISEINÄT JA OTSAT</t>
  </si>
  <si>
    <t>VS-1</t>
  </si>
  <si>
    <t>Työ</t>
  </si>
  <si>
    <t>Pelkkä levytys</t>
  </si>
  <si>
    <t>Pelkkä vaneri</t>
  </si>
  <si>
    <t>Kuvaus</t>
  </si>
  <si>
    <t>VS-2</t>
  </si>
  <si>
    <t>VS-3</t>
  </si>
  <si>
    <t>Runkokiinnikkeet</t>
  </si>
  <si>
    <t>Spit Pulsa naulat 500 kpl + kaasut, 75€ setti</t>
  </si>
  <si>
    <t>Hobarit</t>
  </si>
  <si>
    <t>Vahvike</t>
  </si>
  <si>
    <t>Levy</t>
  </si>
  <si>
    <t>Ranka</t>
  </si>
  <si>
    <t>Alakisko</t>
  </si>
  <si>
    <t>Villa</t>
  </si>
  <si>
    <t>Ruuvit</t>
  </si>
  <si>
    <t>Vaneri</t>
  </si>
  <si>
    <t>Runkokiinnike</t>
  </si>
  <si>
    <t>Nauharuuvit</t>
  </si>
  <si>
    <t>Seinäke tai otsa, k-600</t>
  </si>
  <si>
    <t>Kertopuurunko, kiinnikkeet esim hobau 90mm, kpl</t>
  </si>
  <si>
    <t>Pientarvikkeet</t>
  </si>
  <si>
    <t>Saumanauhat, nurkkavahvikkeet jne.</t>
  </si>
  <si>
    <t>4,2x90mm, 500 kpl / rasia</t>
  </si>
  <si>
    <t>VS-4</t>
  </si>
  <si>
    <t>VS-5</t>
  </si>
  <si>
    <t>VS-6</t>
  </si>
  <si>
    <t>VS-7</t>
  </si>
  <si>
    <t>VS-8</t>
  </si>
  <si>
    <t>Koonti</t>
  </si>
  <si>
    <t>Väliseinät</t>
  </si>
  <si>
    <t>POS-1</t>
  </si>
  <si>
    <t>POS-2</t>
  </si>
  <si>
    <t>POS-3</t>
  </si>
  <si>
    <t>POS-4</t>
  </si>
  <si>
    <t>POS-5</t>
  </si>
  <si>
    <t>POS-6</t>
  </si>
  <si>
    <t>POS-7</t>
  </si>
  <si>
    <t>POS-8</t>
  </si>
  <si>
    <t>Materiaali</t>
  </si>
  <si>
    <t>Yhteensä</t>
  </si>
  <si>
    <t>Urakka</t>
  </si>
  <si>
    <t>Tilaaja</t>
  </si>
  <si>
    <t>Hinta, väliseinät</t>
  </si>
  <si>
    <t>Tasoitukset ja maalaukset</t>
  </si>
  <si>
    <t>Teippaus</t>
  </si>
  <si>
    <t>Ylitasoitus</t>
  </si>
  <si>
    <t>Pohjamaalaus 2X</t>
  </si>
  <si>
    <t>m2 / jm</t>
  </si>
  <si>
    <t>Sininen teippi</t>
  </si>
  <si>
    <t>Tuote</t>
  </si>
  <si>
    <t>Hinta</t>
  </si>
  <si>
    <t>LW</t>
  </si>
  <si>
    <t>Ylitasoitus n. 3mm, kilohinta</t>
  </si>
  <si>
    <t>0,3kg / m2 osittaisessa</t>
  </si>
  <si>
    <t>Goldband</t>
  </si>
  <si>
    <t>siro 2</t>
  </si>
  <si>
    <t>Siro 7 mv</t>
  </si>
  <si>
    <t>Nova C</t>
  </si>
  <si>
    <t>Pintamaali MV, 6m2 / l</t>
  </si>
  <si>
    <t>Pohjamaali, 6m2/l</t>
  </si>
  <si>
    <t>Pintamaali + sävytys 6m2/l</t>
  </si>
  <si>
    <t>Pintamaalaus 2X, maalarinv.</t>
  </si>
  <si>
    <t>Pintamaalaus 2X, sävytetty</t>
  </si>
  <si>
    <t>Rappauskorjaus, 10mm asti</t>
  </si>
  <si>
    <t>10mm rappauskerros</t>
  </si>
  <si>
    <t>0,4kg</t>
  </si>
  <si>
    <t>Osittain tasoitus, LG</t>
  </si>
  <si>
    <t>Osittainen tasoitus, LF</t>
  </si>
  <si>
    <t>Menekki</t>
  </si>
  <si>
    <t>Siro 7 mv, 18l</t>
  </si>
  <si>
    <t>Nova C + sävy</t>
  </si>
  <si>
    <t>Siro 2</t>
  </si>
  <si>
    <t>Vetonit L</t>
  </si>
  <si>
    <t>Veotnit LR+</t>
  </si>
  <si>
    <t>Hinta, sk/pnt/rll</t>
  </si>
  <si>
    <t>Menekki ylös pyör.</t>
  </si>
  <si>
    <t>Pientarvikkeet, €</t>
  </si>
  <si>
    <t>Hinta, materiaalit</t>
  </si>
  <si>
    <t>Lisä-%</t>
  </si>
  <si>
    <t>Yht.</t>
  </si>
  <si>
    <t>Teippi + 1/4  imurointi</t>
  </si>
  <si>
    <t>Osittelu</t>
  </si>
  <si>
    <t>Ylitasotus</t>
  </si>
  <si>
    <t>Rappaus</t>
  </si>
  <si>
    <t>Pohjamaal + hiomaal</t>
  </si>
  <si>
    <t>Pintamaal 2X</t>
  </si>
  <si>
    <t>Maalaus</t>
  </si>
  <si>
    <t>POS-9</t>
  </si>
  <si>
    <t>POS-10</t>
  </si>
  <si>
    <t>POS-11</t>
  </si>
  <si>
    <t>POS-12</t>
  </si>
  <si>
    <t>Maalaukset</t>
  </si>
  <si>
    <t>Hinta, Maalaukset</t>
  </si>
  <si>
    <t>Kate-%</t>
  </si>
  <si>
    <t>Kate-osuus</t>
  </si>
  <si>
    <t>Erillismaalit</t>
  </si>
  <si>
    <t>Maali 1</t>
  </si>
  <si>
    <t>Maali 2</t>
  </si>
  <si>
    <t>Maali 3</t>
  </si>
  <si>
    <t>Maali 1 X2</t>
  </si>
  <si>
    <t>Maali 2 X2</t>
  </si>
  <si>
    <t>Maali 3 X2</t>
  </si>
  <si>
    <t>Purkin koko, l</t>
  </si>
  <si>
    <t>Purkkihinta, €</t>
  </si>
  <si>
    <t>0,1</t>
  </si>
  <si>
    <t>Maalaus, tunnit</t>
  </si>
  <si>
    <t>Väliseinät tunnit</t>
  </si>
  <si>
    <t xml:space="preserve">Hinnoitteluhinta n. </t>
  </si>
  <si>
    <t xml:space="preserve">Syötä hinnoitteluhinta tuntiarviota varten </t>
  </si>
  <si>
    <t>Hinta / m2 / jm / kpl</t>
  </si>
  <si>
    <t>Ohje laskentaan</t>
  </si>
  <si>
    <t>Kate-% voi laskea jos seinä erikoinen ja pystyy hinnoittelemaan suoraan</t>
  </si>
  <si>
    <t>Esim. sik-sak -seinän lisäprosenttiosuus tai märkätilalevyn osuus jne.</t>
  </si>
  <si>
    <t>Teippi, rll</t>
  </si>
  <si>
    <t>Alakattoasennukset</t>
  </si>
  <si>
    <t>Alakattoasennus</t>
  </si>
  <si>
    <t>AK1</t>
  </si>
  <si>
    <t>Liimakiinnitys</t>
  </si>
  <si>
    <t>Tuotteen hinta</t>
  </si>
  <si>
    <t>Kiinteä runko</t>
  </si>
  <si>
    <t>Määrä, m2</t>
  </si>
  <si>
    <t>Tuotteen hinta / m2</t>
  </si>
  <si>
    <t>Määrä</t>
  </si>
  <si>
    <t>Kiinteä kipsilevykatto</t>
  </si>
  <si>
    <t>Runko hinta / m</t>
  </si>
  <si>
    <t>esim kertopuu, metalliranka</t>
  </si>
  <si>
    <t>Levyn hinta / m2</t>
  </si>
  <si>
    <t>Pientarvikkeet €</t>
  </si>
  <si>
    <t>Ecophon DS frost white, 600x1200x40</t>
  </si>
  <si>
    <t>Ecophon DS A-reuna</t>
  </si>
  <si>
    <t>T-15, T-24, normi</t>
  </si>
  <si>
    <t>T-15, T-24, piiloasennus</t>
  </si>
  <si>
    <t>Ecophon FG E-reuna</t>
  </si>
  <si>
    <t>yht.</t>
  </si>
  <si>
    <t>Hinta, Työ</t>
  </si>
  <si>
    <t>Alakatot</t>
  </si>
  <si>
    <t>Hinta, alakatot</t>
  </si>
  <si>
    <t>Alakatot, tunnit</t>
  </si>
  <si>
    <t>Lattia-asennukset</t>
  </si>
  <si>
    <t>Tarrakiinnitys</t>
  </si>
  <si>
    <t>Vinyyli- ja tekstiilipalamatto</t>
  </si>
  <si>
    <t>Pontattu vinyyli</t>
  </si>
  <si>
    <t>Pontattu parketti / laminaatti</t>
  </si>
  <si>
    <t>Alusmaton asennus</t>
  </si>
  <si>
    <t>Alusmateriaalin hinta</t>
  </si>
  <si>
    <t>Hukka-%</t>
  </si>
  <si>
    <t>Lattiamateriaalit</t>
  </si>
  <si>
    <t>Laatoitus, kuiva tila</t>
  </si>
  <si>
    <t>L1</t>
  </si>
  <si>
    <t>Lattiat</t>
  </si>
  <si>
    <t>Hinta, lattiat</t>
  </si>
  <si>
    <t>Lattiat, tunnit</t>
  </si>
  <si>
    <t>Lattian maalaus 1-K ja 2-K</t>
  </si>
  <si>
    <t>Huomioi myös menekki, hinta</t>
  </si>
  <si>
    <t>kohtaan koko tarvittava määrä</t>
  </si>
  <si>
    <t>Tuntihinnoittelut</t>
  </si>
  <si>
    <t>Tunnit</t>
  </si>
  <si>
    <t>Suojaukset</t>
  </si>
  <si>
    <t>Tuntihinta</t>
  </si>
  <si>
    <t>Purkutyöt</t>
  </si>
  <si>
    <t>Materiaalit</t>
  </si>
  <si>
    <t>Neliöhinnoittelu</t>
  </si>
  <si>
    <t>Neliöhinta</t>
  </si>
  <si>
    <t>Hinta Yhteensä</t>
  </si>
  <si>
    <t>Vaihtolava.com</t>
  </si>
  <si>
    <t>Toimitus työmaalle</t>
  </si>
  <si>
    <t>Tyhjennys / poishaku</t>
  </si>
  <si>
    <t>Kansilavavuokra / kk</t>
  </si>
  <si>
    <t>Rakennusjäte</t>
  </si>
  <si>
    <t>Rakennusjäte, LK2</t>
  </si>
  <si>
    <t xml:space="preserve">Puujäte, seka </t>
  </si>
  <si>
    <t>Betoni</t>
  </si>
  <si>
    <t>Betoni + tiili</t>
  </si>
  <si>
    <t>Tiili</t>
  </si>
  <si>
    <t>Punnitusmaksu / kerta</t>
  </si>
  <si>
    <t>Tyhjennys ja pois haku / kerta</t>
  </si>
  <si>
    <t>Painekyllästetty puujäte</t>
  </si>
  <si>
    <t>Tonnihinnat</t>
  </si>
  <si>
    <t>Kipsijäte</t>
  </si>
  <si>
    <t>Villajäte</t>
  </si>
  <si>
    <t>Energiajäte</t>
  </si>
  <si>
    <t>Kipsilevyseinä, 2xEK + villa</t>
  </si>
  <si>
    <t>Tiiliseinä</t>
  </si>
  <si>
    <t>Paino-arviot / m2</t>
  </si>
  <si>
    <t>Kg</t>
  </si>
  <si>
    <t>Laatta + laasti</t>
  </si>
  <si>
    <t>Valubetoni, 1cm kerros</t>
  </si>
  <si>
    <t>Alakatto</t>
  </si>
  <si>
    <t>1m2 levykerros painaa n. 11 kg</t>
  </si>
  <si>
    <t>Muovimatto</t>
  </si>
  <si>
    <t>MENEKKILASKURI</t>
  </si>
  <si>
    <t>Purkutarvikkeet</t>
  </si>
  <si>
    <t>Yht. Tonnia</t>
  </si>
  <si>
    <t>Muut arviot, syötä kilomäärä</t>
  </si>
  <si>
    <t>Tuote, esim. puukkosahan terät</t>
  </si>
  <si>
    <t>Tuote, esim. piikausterät</t>
  </si>
  <si>
    <t>Tuote, esim. jätesäkit ja muut</t>
  </si>
  <si>
    <t>Työt, hinta</t>
  </si>
  <si>
    <t>Materiaalit, hinta</t>
  </si>
  <si>
    <t>Tuntiveloitushinta</t>
  </si>
  <si>
    <t>Yhteensö</t>
  </si>
  <si>
    <t>Hinta, purkutyöt</t>
  </si>
  <si>
    <t>Purkutyöt, tunnit</t>
  </si>
  <si>
    <t>Oviasennukset ja listoitukset</t>
  </si>
  <si>
    <t>Jeld-wen Sound 210</t>
  </si>
  <si>
    <t>Raska palo-ovi</t>
  </si>
  <si>
    <t>Jeld-wen Fire 810</t>
  </si>
  <si>
    <t>Stark RAW</t>
  </si>
  <si>
    <t>Perus laakaovi + karmit ja kynnys listoitettuna</t>
  </si>
  <si>
    <t>Märkätila-laakaovi + karmit ja kynnys listoitettuna</t>
  </si>
  <si>
    <t>Swedoo Bath</t>
  </si>
  <si>
    <t>Jalkalista</t>
  </si>
  <si>
    <t xml:space="preserve">12x42x3600 valk. Mänty </t>
  </si>
  <si>
    <t>Tuotteen hinta (syötä tarjoushinta)</t>
  </si>
  <si>
    <t>Ovet ja listoitukset</t>
  </si>
  <si>
    <t>Listoitus yleensä</t>
  </si>
  <si>
    <t>Raskas ÄE-ovi listoitettuna, 38dB (sis. Tiivistyket)</t>
  </si>
  <si>
    <t>ÄE-laakaovi listoitettuna, 25dB (sis. Tiivistykset)</t>
  </si>
  <si>
    <t>Jm / kpl</t>
  </si>
  <si>
    <t>Oviasennukset ja lisotitukset</t>
  </si>
  <si>
    <t>Hinta, ovet + listat</t>
  </si>
  <si>
    <t>Ovet + listat, tunnit</t>
  </si>
  <si>
    <t>Materiaalihinnoittelut</t>
  </si>
  <si>
    <t>Sahatavara 22x100 rima</t>
  </si>
  <si>
    <t>Kovalevy 3x1220x2745</t>
  </si>
  <si>
    <t>Suojapaperi 30m2</t>
  </si>
  <si>
    <t>Suojapahvi RAW 100m2</t>
  </si>
  <si>
    <t>Lattiaouoja formax itsekiin.</t>
  </si>
  <si>
    <t>Suojamuovi</t>
  </si>
  <si>
    <t>Raskas suojamuovi, 0,2 kalvo</t>
  </si>
  <si>
    <t>Oranssi teippi</t>
  </si>
  <si>
    <t>Speed mask</t>
  </si>
  <si>
    <t>Sinkilä / niitti</t>
  </si>
  <si>
    <t xml:space="preserve">Parkettikiila 200 kpl </t>
  </si>
  <si>
    <t>Raudoitusverkko 4-150</t>
  </si>
  <si>
    <t>Raudoitusverkko 6-150</t>
  </si>
  <si>
    <t>Raudoituskoroke</t>
  </si>
  <si>
    <t>Vuorio surrauskoukku</t>
  </si>
  <si>
    <t>Styrox lattia 50mm</t>
  </si>
  <si>
    <t>Puhdistus ja saumaushiekka 20 kg</t>
  </si>
  <si>
    <t>Sidelanka 0,9mm 5kg</t>
  </si>
  <si>
    <t>Ankkurointimassa</t>
  </si>
  <si>
    <t>Kärkihiomakoneen latta</t>
  </si>
  <si>
    <t>Tarrahiomapyörö</t>
  </si>
  <si>
    <t>Hiomapaperirulla</t>
  </si>
  <si>
    <t>Lattiasuoja remppa monikerros</t>
  </si>
  <si>
    <t>Rockwool 50mm 570x1170</t>
  </si>
  <si>
    <t>Rockwool 70mm</t>
  </si>
  <si>
    <t>Paroc Extra 70mm 610x1170</t>
  </si>
  <si>
    <t>Isover Ecobatt rankavilla</t>
  </si>
  <si>
    <t>Isolina 50mm pellavaeriste</t>
  </si>
  <si>
    <t>Isover FLO 50mm</t>
  </si>
  <si>
    <t>Ekovilla puru käsinlevitykseen</t>
  </si>
  <si>
    <t>Sylomer-kaista SR220, 12,5mm</t>
  </si>
  <si>
    <t>Saumanauha</t>
  </si>
  <si>
    <t>Reunavahvisteinen sumanauha</t>
  </si>
  <si>
    <t>Akryylimassa</t>
  </si>
  <si>
    <t>Paloakryyli Nullfire</t>
  </si>
  <si>
    <t>Maalarin teippi</t>
  </si>
  <si>
    <t xml:space="preserve">Nurkkavahvike </t>
  </si>
  <si>
    <t>Kiilto 66 yleisliima, 10l</t>
  </si>
  <si>
    <t>Yleisruuvi 4x50, 200kpl</t>
  </si>
  <si>
    <t>Nauharuuvi 3,9x41, 1000kpl</t>
  </si>
  <si>
    <t>50mm viimeistelynaula + kaasu 2000 kpl</t>
  </si>
  <si>
    <t>Uretaaniliima</t>
  </si>
  <si>
    <t>Sikaboom uretaani</t>
  </si>
  <si>
    <t>Palouretaani</t>
  </si>
  <si>
    <t>IM90 runkonaulasetti 90mm</t>
  </si>
  <si>
    <t>Pikanaula 8x90, 100 kpl</t>
  </si>
  <si>
    <t>Rappausohjuri</t>
  </si>
  <si>
    <t>Lasikuituverkko 4-6mm</t>
  </si>
  <si>
    <t>Lasikuitukulmaprofiili</t>
  </si>
  <si>
    <t>Lasikuitualoituslista</t>
  </si>
  <si>
    <t>Aloitusprofiili</t>
  </si>
  <si>
    <t>Ikkunaprofiili</t>
  </si>
  <si>
    <t>Vetonit Silcomaali</t>
  </si>
  <si>
    <t>Vetonit Silco+ pinnoite, valkoinen</t>
  </si>
  <si>
    <t>Rensa Julkisivunpesuaine</t>
  </si>
  <si>
    <t>Pistotelan varsi, 25cm</t>
  </si>
  <si>
    <t>23cm anza rilon tela (punanen)</t>
  </si>
  <si>
    <t>Huopatela 18cm</t>
  </si>
  <si>
    <t>Pistotelan varsi, 18cm</t>
  </si>
  <si>
    <t>Vesieristetelasetti</t>
  </si>
  <si>
    <t>Pistotelan varsi, 10-15cm</t>
  </si>
  <si>
    <t>Mikrokuitutela 15cm</t>
  </si>
  <si>
    <t>Leveä sivellin 120</t>
  </si>
  <si>
    <t>Sivellinsetti 3kpl</t>
  </si>
  <si>
    <t>Lakkasivellin 35-75mm</t>
  </si>
  <si>
    <t>Weber MT 20kg</t>
  </si>
  <si>
    <t>Weber TT 20kg</t>
  </si>
  <si>
    <t>Knauf käsikipsilaasti Goldband 20 kg</t>
  </si>
  <si>
    <t>Knauf konekipsilaasti MPL75 30kg</t>
  </si>
  <si>
    <t>Weber L 20kg</t>
  </si>
  <si>
    <t>Weber LR+ 20kg</t>
  </si>
  <si>
    <t>Weber V+</t>
  </si>
  <si>
    <t>Weber JS 20kg</t>
  </si>
  <si>
    <t>Weber JS 5kg</t>
  </si>
  <si>
    <t>Teknos LG</t>
  </si>
  <si>
    <t>Teknos LW</t>
  </si>
  <si>
    <t>Ardex R4</t>
  </si>
  <si>
    <t>Weber MD16 3l</t>
  </si>
  <si>
    <t>Weber saneerauslaasti RF</t>
  </si>
  <si>
    <t>Kiilto saneerauslaasti superfix 15kg</t>
  </si>
  <si>
    <t>Weber supra</t>
  </si>
  <si>
    <t>Weber 6000 20kg</t>
  </si>
  <si>
    <t>Fescon pikabetoni 25 kg</t>
  </si>
  <si>
    <t>Fescon muurauslaasti 100/600</t>
  </si>
  <si>
    <t>Weber 5400</t>
  </si>
  <si>
    <t>Kiilto lattialämmitystasoite DF</t>
  </si>
  <si>
    <t>Weber 5000 20kg</t>
  </si>
  <si>
    <t>Weber 3100 20kg</t>
  </si>
  <si>
    <t>Weber 3300</t>
  </si>
  <si>
    <t>Kiilto 80</t>
  </si>
  <si>
    <t>Vetonit PTM</t>
  </si>
  <si>
    <t>Kiilto TM pikatäyttömassa</t>
  </si>
  <si>
    <t>Vetonit WP 15l</t>
  </si>
  <si>
    <t>WP 10l</t>
  </si>
  <si>
    <t>WP 5l</t>
  </si>
  <si>
    <t>Vetonit läpivienti 32-55</t>
  </si>
  <si>
    <t>Vetonit läpivienti 75-110</t>
  </si>
  <si>
    <t>Kaivolaippa</t>
  </si>
  <si>
    <t>Ardex saneerauslaasti X77 20 kg</t>
  </si>
  <si>
    <t>Ardex saneerauslaasti S48, valkoinen 12,5 kg</t>
  </si>
  <si>
    <t>Ardex primer 5l</t>
  </si>
  <si>
    <t>Ardex 8 + 9</t>
  </si>
  <si>
    <t>Ardex vahvikenauha 50m</t>
  </si>
  <si>
    <t>Ardex kaivokappale</t>
  </si>
  <si>
    <t>Ardex LPV 80-110</t>
  </si>
  <si>
    <t>Ardex LPV 50-80</t>
  </si>
  <si>
    <t>Ardex LPV 12-22</t>
  </si>
  <si>
    <t>Vetonit MS 3l</t>
  </si>
  <si>
    <t>Vetonit kuitukangas, 40m</t>
  </si>
  <si>
    <t>Weber 4400 lattiatasoite</t>
  </si>
  <si>
    <t>S100 kuivabetoni</t>
  </si>
  <si>
    <t>Kevyt sora LECA</t>
  </si>
  <si>
    <t>Rappausohjuri 6mm</t>
  </si>
  <si>
    <t>Casco XTremFix</t>
  </si>
  <si>
    <t>Vetonit 410</t>
  </si>
  <si>
    <t>Antiikkilaasti fescon</t>
  </si>
  <si>
    <t>Vetonit REP 45</t>
  </si>
  <si>
    <t>Vetonit REP 25+</t>
  </si>
  <si>
    <t>Easytiler koukut</t>
  </si>
  <si>
    <t>Easytiler kiilat</t>
  </si>
  <si>
    <t>Höyrynsulkumuovi</t>
  </si>
  <si>
    <t>Ilmansulkupaperi ekovilla, 60m2</t>
  </si>
  <si>
    <t>Höyrynsulkuteippi sitko</t>
  </si>
  <si>
    <t>Kattohuopa icopal</t>
  </si>
  <si>
    <t>Tiivistyslaippa 110-120</t>
  </si>
  <si>
    <t>Sauna-Satu, 30mm, 1200x2400</t>
  </si>
  <si>
    <t>Alumiinipaperi 30m2</t>
  </si>
  <si>
    <t>Alumiiniteippi 50m</t>
  </si>
  <si>
    <t>Finnfoam 50mm, 60x250</t>
  </si>
  <si>
    <t>Finnfoam 100mm, 60x250</t>
  </si>
  <si>
    <t>Vaahtolasimurske 1m3</t>
  </si>
  <si>
    <t>Suodatinkangas 2x10m, 20m2</t>
  </si>
  <si>
    <t>Valukangas 1,5mx100m</t>
  </si>
  <si>
    <t>Leca-harkko H-75</t>
  </si>
  <si>
    <t>Leca-harkko UH-125</t>
  </si>
  <si>
    <t>IPE 240</t>
  </si>
  <si>
    <t>HEA 100</t>
  </si>
  <si>
    <t>HEA 100, 2x4m katkaisulisineen</t>
  </si>
  <si>
    <t>UNP 100, 6m</t>
  </si>
  <si>
    <t>RHS 50x50x5mm</t>
  </si>
  <si>
    <t>BE-group rahti</t>
  </si>
  <si>
    <t>UPE140</t>
  </si>
  <si>
    <t>Rahti</t>
  </si>
  <si>
    <t>Teräspoimulevy, T45-30L-905, t=0,7</t>
  </si>
  <si>
    <t>Kattopelti, aaltoprofiili</t>
  </si>
  <si>
    <t>Harjateräs 12mm</t>
  </si>
  <si>
    <t>Kierretanko M24</t>
  </si>
  <si>
    <t>M24 mutteri</t>
  </si>
  <si>
    <t>26mm poranterä</t>
  </si>
  <si>
    <t>EPS routa, 50mm 100x120</t>
  </si>
  <si>
    <t>Asbestinäyte</t>
  </si>
  <si>
    <t>Timanttilaikka</t>
  </si>
  <si>
    <t>Kuppilaikka</t>
  </si>
  <si>
    <t>Katkaisulaikka 125x1, metalli</t>
  </si>
  <si>
    <t>Attix pölypussi 5 kpl</t>
  </si>
  <si>
    <t>Jätesäkki ekstravahva</t>
  </si>
  <si>
    <t>Puujäte</t>
  </si>
  <si>
    <t>Sekajäte ja kipsi</t>
  </si>
  <si>
    <t>Betoni, kivi, palamaton kaatisjäte</t>
  </si>
  <si>
    <t>Eilole logistics</t>
  </si>
  <si>
    <t>17,7t hiab, 15m korkeus 15m leveys</t>
  </si>
  <si>
    <t>Työmaan verkkoaita + jalusta</t>
  </si>
  <si>
    <t>Vuokrat</t>
  </si>
  <si>
    <t>Rofrost jäädytyskone</t>
  </si>
  <si>
    <t>Taptin poistaja</t>
  </si>
  <si>
    <t xml:space="preserve">Alipaineistaja </t>
  </si>
  <si>
    <t>Karkeasuodatin</t>
  </si>
  <si>
    <t>hepa-suodatin</t>
  </si>
  <si>
    <t>Purkuränni ikkunakiinnike</t>
  </si>
  <si>
    <t>Yläsyöttö</t>
  </si>
  <si>
    <t>Perusosa</t>
  </si>
  <si>
    <t>Välisyöttö</t>
  </si>
  <si>
    <t>Asennusvinssi</t>
  </si>
  <si>
    <t>Kuljetus</t>
  </si>
  <si>
    <t>Roskakuiluyht. Päivät</t>
  </si>
  <si>
    <t>Exetrem lattianhiomakone</t>
  </si>
  <si>
    <t>Hiomalatta</t>
  </si>
  <si>
    <t>Lisäpaino 6 kg</t>
  </si>
  <si>
    <t>Lattiahiomakone</t>
  </si>
  <si>
    <t>Columbus</t>
  </si>
  <si>
    <t>Wolframkarbidilaikka</t>
  </si>
  <si>
    <t>Hiomalaikka 16</t>
  </si>
  <si>
    <t>Timanttilaikka polttomoottorilla</t>
  </si>
  <si>
    <t>Painevesisäiliö</t>
  </si>
  <si>
    <t>Timantilaikka per alkava mm</t>
  </si>
  <si>
    <t>Tarvikelisä, vuokrat jne</t>
  </si>
  <si>
    <t>Kiinnikkeet</t>
  </si>
  <si>
    <t>Sähkötarvikkeet</t>
  </si>
  <si>
    <t>Laatoitukset</t>
  </si>
  <si>
    <t>TARJOUS</t>
  </si>
  <si>
    <t>Erittelyssä esitetyt hinnat alv. 0 % ilman eri mainintaa</t>
  </si>
  <si>
    <t>Rakennustyöt</t>
  </si>
  <si>
    <t>Erillishankinnat</t>
  </si>
  <si>
    <t>Hinta / Tarjous</t>
  </si>
  <si>
    <t>Urakoitsija / Toimittaja</t>
  </si>
  <si>
    <t>Tarjous nro.</t>
  </si>
  <si>
    <t>POS-13</t>
  </si>
  <si>
    <t>POS-14</t>
  </si>
  <si>
    <t>POS-15</t>
  </si>
  <si>
    <t>Erillishank. Yht.</t>
  </si>
  <si>
    <t>Toimitus</t>
  </si>
  <si>
    <t>Toimittaja / urakoitsija</t>
  </si>
  <si>
    <t>GFR 120/1,2mm</t>
  </si>
  <si>
    <t>GFR 95/1,2mm</t>
  </si>
  <si>
    <t>GFR 70/1,2mm</t>
  </si>
  <si>
    <t>GFS 70</t>
  </si>
  <si>
    <t>GFS 95</t>
  </si>
  <si>
    <t>GFS 120</t>
  </si>
  <si>
    <t>12mm hvauvaner, 12x240</t>
  </si>
  <si>
    <t>IBS 1 taustapelti 1200x2400</t>
  </si>
  <si>
    <t>Lattiakipsilevy Knauf KL 15mm, 900x2400</t>
  </si>
  <si>
    <t>Lattiakipsi Lapikas 15mm 1200x2400</t>
  </si>
  <si>
    <t>Palosuojalevy knauf KPS 1200x2700x15</t>
  </si>
  <si>
    <t>Palonsuojalevy Gyproc GFL15 1200x3000</t>
  </si>
  <si>
    <t>Kipsilevy märkätila</t>
  </si>
  <si>
    <t>Vesivaneri 12mm</t>
  </si>
  <si>
    <t>Väliseinäpontti kahi, rei'itetty 300x85x198</t>
  </si>
  <si>
    <t>Weber ohutsaumalaasti</t>
  </si>
  <si>
    <t>9mm havuvaneri 1200x2440</t>
  </si>
  <si>
    <t>15mm havuvaneri 1200x2440</t>
  </si>
  <si>
    <t>24mm havuvaneri 1,2x2,40 suojakäsit.</t>
  </si>
  <si>
    <t>15mm koivuvaneri, 1500x3000</t>
  </si>
  <si>
    <t>Lattialastulevy 22x1200x2400</t>
  </si>
  <si>
    <t>Havuvaneri 21mm, 2440X1200</t>
  </si>
  <si>
    <t>Laatoitus, kuivat tilat</t>
  </si>
  <si>
    <t>Laatoitus, kosteat tilat</t>
  </si>
  <si>
    <t>Vesieriste</t>
  </si>
  <si>
    <t>Vesieristenauha</t>
  </si>
  <si>
    <t>Läpivientivahvike</t>
  </si>
  <si>
    <t>Työn osuus + laatan hinta</t>
  </si>
  <si>
    <t>yksikkö, esim säkki</t>
  </si>
  <si>
    <t>Pyöristys täyteen</t>
  </si>
  <si>
    <t>Vetonit Rex Fix</t>
  </si>
  <si>
    <t>Saumalaasti, neliöt</t>
  </si>
  <si>
    <t>Saumalaasti</t>
  </si>
  <si>
    <t>Vedeneristenauha</t>
  </si>
  <si>
    <t xml:space="preserve">Laatoitus kosteat tilat, sis. Vesieristys -&gt; sauman pesu </t>
  </si>
  <si>
    <t>Työt</t>
  </si>
  <si>
    <t>Selite</t>
  </si>
  <si>
    <t>Massalistat</t>
  </si>
  <si>
    <t>Väliseinätarvikkeet</t>
  </si>
  <si>
    <t>L, 20 kg säkit</t>
  </si>
  <si>
    <t>LR+, 20 kg säkit</t>
  </si>
  <si>
    <t>J, 10 kg purkki</t>
  </si>
  <si>
    <t>LF, 10 kg purkki</t>
  </si>
  <si>
    <t>Akryyli, makkara</t>
  </si>
  <si>
    <r>
      <t xml:space="preserve">Pientarvikkeet, </t>
    </r>
    <r>
      <rPr>
        <i/>
        <sz val="11"/>
        <color theme="1"/>
        <rFont val="Calibri"/>
        <family val="2"/>
        <scheme val="minor"/>
      </rPr>
      <t>tarkasta laskentasivulta tavarat</t>
    </r>
  </si>
  <si>
    <t>Runkokiinnike, Spit Pulsa naulat</t>
  </si>
  <si>
    <t>Hobarit, 90mm</t>
  </si>
  <si>
    <t>Tarkasta positioiden rangat ja muut tavikkeet laskentasivuilta!</t>
  </si>
  <si>
    <t>Maalaustyöt</t>
  </si>
  <si>
    <t>Erillliset</t>
  </si>
  <si>
    <t>Erilliset tarvikkeet</t>
  </si>
  <si>
    <t>Kpl / m2 / jm jne.</t>
  </si>
  <si>
    <t>&lt;- Valitse tyhjät tilauslistaa varten</t>
  </si>
  <si>
    <t>Työn hinta</t>
  </si>
  <si>
    <t>Stark VV57, 20x40 mattavalk.</t>
  </si>
  <si>
    <t>Vakioharmaa, stark</t>
  </si>
  <si>
    <t>Laatoitus, tunnit</t>
  </si>
  <si>
    <t>Tunnit yhteensä</t>
  </si>
  <si>
    <t>Urakan hinnat</t>
  </si>
  <si>
    <t>Omakustannehinta</t>
  </si>
  <si>
    <t>Kate-osuus yht.</t>
  </si>
  <si>
    <t>Urakan hinta yht.</t>
  </si>
  <si>
    <t>Summa, €</t>
  </si>
  <si>
    <t>rll</t>
  </si>
  <si>
    <t>Työn hinta sis 80% sos</t>
  </si>
  <si>
    <t>Sik-sak tai tuplarunko +30 %</t>
  </si>
  <si>
    <t>Kotelo, m2</t>
  </si>
  <si>
    <t>Kotelo, jm</t>
  </si>
  <si>
    <t>Saumaus ja akryyli laskettu hintoihin</t>
  </si>
  <si>
    <t>GK-kannatus</t>
  </si>
  <si>
    <t>GK-kannattimet, m2</t>
  </si>
  <si>
    <t>sos 80% hinnoissa</t>
  </si>
  <si>
    <t>SK (ripustuskisko) + GN13</t>
  </si>
  <si>
    <t xml:space="preserve">sisältää 80% sos </t>
  </si>
  <si>
    <t>sos 80 % huomioitu hinnassa</t>
  </si>
  <si>
    <t>Työmaataulu ja muut työmaatarvikkeet</t>
  </si>
  <si>
    <t>Työmaan perustus + työmaataulu ja ilmoitukset</t>
  </si>
  <si>
    <t>DC suodatin</t>
  </si>
  <si>
    <t>Purkkihintaan vain 1 purkin hinta, ohjelma laskee menekin itse</t>
  </si>
  <si>
    <t>1mm kerros / L ja LR+, voi laske neliöt X 2-3</t>
  </si>
  <si>
    <t>Vihtan lasiseinät, 900 ja 600</t>
  </si>
  <si>
    <t>Tekniikantie 4 2. krs.</t>
  </si>
  <si>
    <t>Katon akustointi 75%</t>
  </si>
  <si>
    <t>Keittiöiden tausta</t>
  </si>
  <si>
    <t>m2</t>
  </si>
  <si>
    <t>Erillishankinnat yhteensä</t>
  </si>
  <si>
    <t>Tarjous yhteensä</t>
  </si>
  <si>
    <t>Tekniikantie 4, 2. kerros</t>
  </si>
  <si>
    <t>Espoo</t>
  </si>
  <si>
    <t>neukkarien seinät</t>
  </si>
  <si>
    <t>Korkea otsa</t>
  </si>
  <si>
    <t>2x6 mitallistettu</t>
  </si>
  <si>
    <t>osb levy 1,2x2,6</t>
  </si>
  <si>
    <t>Keittiön asennus</t>
  </si>
  <si>
    <t>Palkit</t>
  </si>
  <si>
    <t>Palkin rahti</t>
  </si>
  <si>
    <t>Korkean katto-osan paikkauskamat</t>
  </si>
  <si>
    <t>Nosturipurku / päivähinta</t>
  </si>
  <si>
    <t>Kuten pasilanraitio purku</t>
  </si>
  <si>
    <t>Tarramatto</t>
  </si>
  <si>
    <t>Jeld-wen fire 810 Rw 37 dB</t>
  </si>
  <si>
    <t>Lahden ovi rw 42 dB</t>
  </si>
  <si>
    <t>Swedoor sound rw 30 dB</t>
  </si>
  <si>
    <t>Ovet karmeineen, ilman listoja tai heloja</t>
  </si>
  <si>
    <t>Lasiseinä 55.1</t>
  </si>
  <si>
    <t>Projekti:</t>
  </si>
  <si>
    <t>Aika:</t>
  </si>
  <si>
    <t>0384 Porkkalankatu 20 Norion</t>
  </si>
  <si>
    <t>X</t>
  </si>
  <si>
    <t>Täytä:</t>
  </si>
  <si>
    <t>Kate €</t>
  </si>
  <si>
    <t>Tarjottu</t>
  </si>
  <si>
    <t>Laskettu</t>
  </si>
  <si>
    <t>Arvio</t>
  </si>
  <si>
    <t>Tuntityöt</t>
  </si>
  <si>
    <t>Rakennusurakka</t>
  </si>
  <si>
    <t>Siivous</t>
  </si>
  <si>
    <t>Sähköurakka</t>
  </si>
  <si>
    <t>LVI-urakka</t>
  </si>
  <si>
    <t>Keittiö</t>
  </si>
  <si>
    <t>WC-tarvikkeet</t>
  </si>
  <si>
    <t>Lasiseinät</t>
  </si>
  <si>
    <t>Lukitus</t>
  </si>
  <si>
    <t>MUUT</t>
  </si>
  <si>
    <t>x</t>
  </si>
  <si>
    <t>Toteuma</t>
  </si>
  <si>
    <t>Ei muutoksia</t>
  </si>
  <si>
    <t>Wc-kalusteiden asennus</t>
  </si>
  <si>
    <t>Matonpoistokone, lino tai muovi</t>
  </si>
  <si>
    <t>Timanttikone 400 Scanmaskin</t>
  </si>
  <si>
    <t>Kevythiomakone, wirbeli</t>
  </si>
  <si>
    <t>Huom.</t>
  </si>
  <si>
    <t>Huomioitu 140 € / viikkovuokralla, n. 0,5h / m2</t>
  </si>
  <si>
    <t>Huomioitu 70 € / viikkovuokralla, n. 0,25h / m2</t>
  </si>
  <si>
    <t>Teräkulu, 160 € / paketti netto</t>
  </si>
  <si>
    <t>Laikkakulu, kupari / karbidi / kpl netto</t>
  </si>
  <si>
    <t>Lattian käsittely</t>
  </si>
  <si>
    <t>Roudaukset</t>
  </si>
  <si>
    <t>Piirustustilaukset</t>
  </si>
  <si>
    <t>Vuokrapotti</t>
  </si>
  <si>
    <t>Kaikki seinät 3000</t>
  </si>
  <si>
    <t>T-24 yleensä</t>
  </si>
  <si>
    <t>seinien laatoitus</t>
  </si>
  <si>
    <t>lattian laatoitus</t>
  </si>
  <si>
    <t>wc etutilan maalaukset</t>
  </si>
  <si>
    <t>Palamatto</t>
  </si>
  <si>
    <t>vinyyli</t>
  </si>
  <si>
    <t>wc-varusteiden asennus</t>
  </si>
  <si>
    <t>Lasien asennukset</t>
  </si>
  <si>
    <t>Lasielementit</t>
  </si>
  <si>
    <t>Yleissiivoukset ja loppusiivous</t>
  </si>
  <si>
    <t>2 kpl aluprofiiliovet hissiaulaan</t>
  </si>
  <si>
    <t>huomioitu kv-varausten työstöt</t>
  </si>
  <si>
    <t>Palopalkkien koteloinnit</t>
  </si>
  <si>
    <t>pariovi</t>
  </si>
  <si>
    <t>%-osuus urakasta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</si>
</sst>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"/>
    <numFmt numFmtId="165" formatCode="#,##0.00\ &quot;€&quot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0" fillId="2" borderId="6" xfId="0" applyFill="1" applyBorder="1"/>
    <xf numFmtId="0" fontId="1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right"/>
    </xf>
    <xf numFmtId="0" fontId="0" fillId="2" borderId="4" xfId="0" applyFill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165" fontId="0" fillId="2" borderId="0" xfId="0" applyNumberFormat="1" applyFill="1" applyAlignment="1">
      <alignment horizontal="center"/>
    </xf>
    <xf numFmtId="44" fontId="0" fillId="0" borderId="0" xfId="0" applyNumberFormat="1"/>
    <xf numFmtId="0" fontId="6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44" fontId="0" fillId="0" borderId="0" xfId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1" applyFon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/>
    </xf>
    <xf numFmtId="0" fontId="0" fillId="2" borderId="2" xfId="0" applyFill="1" applyBorder="1"/>
    <xf numFmtId="0" fontId="1" fillId="0" borderId="5" xfId="0" applyFont="1" applyBorder="1" applyAlignment="1">
      <alignment horizontal="center"/>
    </xf>
    <xf numFmtId="0" fontId="6" fillId="0" borderId="0" xfId="0" applyFont="1"/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44" fontId="0" fillId="2" borderId="0" xfId="1" applyFont="1" applyFill="1"/>
    <xf numFmtId="0" fontId="3" fillId="2" borderId="2" xfId="0" applyFont="1" applyFill="1" applyBorder="1"/>
    <xf numFmtId="0" fontId="0" fillId="0" borderId="5" xfId="0" applyBorder="1"/>
    <xf numFmtId="0" fontId="0" fillId="2" borderId="8" xfId="0" applyFill="1" applyBorder="1" applyAlignment="1">
      <alignment horizontal="center"/>
    </xf>
    <xf numFmtId="44" fontId="0" fillId="2" borderId="8" xfId="1" applyFont="1" applyFill="1" applyBorder="1" applyAlignment="1">
      <alignment horizontal="center"/>
    </xf>
    <xf numFmtId="44" fontId="0" fillId="2" borderId="8" xfId="1" applyFont="1" applyFill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44" fontId="0" fillId="0" borderId="2" xfId="1" applyFont="1" applyBorder="1" applyAlignment="1">
      <alignment horizontal="center"/>
    </xf>
    <xf numFmtId="0" fontId="0" fillId="0" borderId="2" xfId="0" applyBorder="1"/>
    <xf numFmtId="44" fontId="0" fillId="0" borderId="2" xfId="0" applyNumberFormat="1" applyBorder="1"/>
    <xf numFmtId="44" fontId="0" fillId="0" borderId="2" xfId="1" applyFont="1" applyBorder="1"/>
    <xf numFmtId="0" fontId="0" fillId="2" borderId="2" xfId="1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44" fontId="1" fillId="0" borderId="2" xfId="0" applyNumberFormat="1" applyFont="1" applyBorder="1"/>
    <xf numFmtId="44" fontId="0" fillId="0" borderId="0" xfId="1" applyFont="1" applyFill="1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/>
    <xf numFmtId="0" fontId="7" fillId="0" borderId="0" xfId="0" applyFont="1"/>
    <xf numFmtId="0" fontId="8" fillId="0" borderId="2" xfId="0" applyFont="1" applyBorder="1"/>
    <xf numFmtId="165" fontId="0" fillId="0" borderId="2" xfId="0" applyNumberFormat="1" applyBorder="1" applyAlignment="1">
      <alignment horizontal="center"/>
    </xf>
    <xf numFmtId="165" fontId="0" fillId="0" borderId="2" xfId="0" applyNumberFormat="1" applyBorder="1"/>
    <xf numFmtId="0" fontId="7" fillId="0" borderId="2" xfId="0" applyFont="1" applyBorder="1"/>
    <xf numFmtId="44" fontId="1" fillId="0" borderId="0" xfId="0" applyNumberFormat="1" applyFont="1" applyAlignment="1">
      <alignment horizontal="center"/>
    </xf>
    <xf numFmtId="44" fontId="0" fillId="2" borderId="0" xfId="1" applyFont="1" applyFill="1" applyAlignment="1">
      <alignment horizontal="center"/>
    </xf>
    <xf numFmtId="0" fontId="0" fillId="2" borderId="2" xfId="1" applyNumberFormat="1" applyFont="1" applyFill="1" applyBorder="1"/>
    <xf numFmtId="44" fontId="1" fillId="0" borderId="2" xfId="1" applyFont="1" applyBorder="1"/>
    <xf numFmtId="44" fontId="0" fillId="2" borderId="2" xfId="1" applyFont="1" applyFill="1" applyBorder="1"/>
    <xf numFmtId="0" fontId="0" fillId="2" borderId="8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44" fontId="0" fillId="0" borderId="7" xfId="0" applyNumberFormat="1" applyBorder="1"/>
    <xf numFmtId="165" fontId="0" fillId="2" borderId="2" xfId="0" applyNumberFormat="1" applyFill="1" applyBorder="1" applyAlignment="1">
      <alignment horizontal="center"/>
    </xf>
    <xf numFmtId="0" fontId="8" fillId="2" borderId="2" xfId="0" applyFont="1" applyFill="1" applyBorder="1"/>
    <xf numFmtId="0" fontId="7" fillId="2" borderId="2" xfId="0" applyFont="1" applyFill="1" applyBorder="1"/>
    <xf numFmtId="165" fontId="0" fillId="2" borderId="2" xfId="0" applyNumberFormat="1" applyFill="1" applyBorder="1" applyAlignment="1">
      <alignment horizontal="center" vertical="center"/>
    </xf>
    <xf numFmtId="0" fontId="6" fillId="2" borderId="2" xfId="0" applyFont="1" applyFill="1" applyBorder="1"/>
    <xf numFmtId="0" fontId="0" fillId="0" borderId="2" xfId="0" applyBorder="1" applyAlignment="1">
      <alignment horizontal="left"/>
    </xf>
    <xf numFmtId="0" fontId="0" fillId="2" borderId="0" xfId="0" applyFill="1" applyAlignment="1">
      <alignment horizontal="center"/>
    </xf>
    <xf numFmtId="0" fontId="1" fillId="3" borderId="0" xfId="0" applyFont="1" applyFill="1"/>
    <xf numFmtId="0" fontId="0" fillId="3" borderId="0" xfId="0" applyFill="1"/>
    <xf numFmtId="164" fontId="1" fillId="0" borderId="0" xfId="0" applyNumberFormat="1" applyFon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left"/>
    </xf>
    <xf numFmtId="1" fontId="1" fillId="2" borderId="2" xfId="0" applyNumberFormat="1" applyFont="1" applyFill="1" applyBorder="1"/>
    <xf numFmtId="0" fontId="1" fillId="0" borderId="2" xfId="0" applyFont="1" applyBorder="1" applyAlignment="1">
      <alignment horizontal="right"/>
    </xf>
    <xf numFmtId="0" fontId="1" fillId="0" borderId="1" xfId="0" applyFont="1" applyBorder="1"/>
    <xf numFmtId="44" fontId="1" fillId="0" borderId="1" xfId="0" applyNumberFormat="1" applyFont="1" applyBorder="1"/>
    <xf numFmtId="0" fontId="9" fillId="0" borderId="0" xfId="0" applyFont="1"/>
    <xf numFmtId="44" fontId="9" fillId="0" borderId="0" xfId="0" applyNumberFormat="1" applyFont="1"/>
    <xf numFmtId="0" fontId="0" fillId="2" borderId="4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0" fontId="1" fillId="3" borderId="2" xfId="0" applyFont="1" applyFill="1" applyBorder="1"/>
    <xf numFmtId="0" fontId="0" fillId="0" borderId="1" xfId="0" applyBorder="1"/>
    <xf numFmtId="164" fontId="1" fillId="0" borderId="1" xfId="0" applyNumberFormat="1" applyFont="1" applyBorder="1" applyAlignment="1">
      <alignment horizontal="center"/>
    </xf>
    <xf numFmtId="0" fontId="10" fillId="0" borderId="2" xfId="0" applyFont="1" applyBorder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" fillId="5" borderId="2" xfId="0" applyFont="1" applyFill="1" applyBorder="1"/>
    <xf numFmtId="165" fontId="1" fillId="5" borderId="2" xfId="0" applyNumberFormat="1" applyFont="1" applyFill="1" applyBorder="1"/>
    <xf numFmtId="0" fontId="2" fillId="4" borderId="0" xfId="0" applyFont="1" applyFill="1"/>
    <xf numFmtId="165" fontId="1" fillId="4" borderId="0" xfId="0" applyNumberFormat="1" applyFont="1" applyFill="1" applyAlignment="1">
      <alignment horizontal="right"/>
    </xf>
    <xf numFmtId="165" fontId="1" fillId="6" borderId="2" xfId="0" applyNumberFormat="1" applyFont="1" applyFill="1" applyBorder="1"/>
    <xf numFmtId="10" fontId="1" fillId="6" borderId="2" xfId="0" applyNumberFormat="1" applyFont="1" applyFill="1" applyBorder="1"/>
    <xf numFmtId="0" fontId="1" fillId="7" borderId="0" xfId="0" applyFont="1" applyFill="1"/>
    <xf numFmtId="0" fontId="0" fillId="7" borderId="0" xfId="0" applyFill="1"/>
    <xf numFmtId="165" fontId="0" fillId="7" borderId="0" xfId="0" applyNumberFormat="1" applyFill="1" applyAlignment="1">
      <alignment horizontal="right"/>
    </xf>
    <xf numFmtId="0" fontId="2" fillId="4" borderId="0" xfId="0" applyFont="1" applyFill="1" applyAlignment="1">
      <alignment vertical="center"/>
    </xf>
    <xf numFmtId="165" fontId="2" fillId="4" borderId="0" xfId="0" applyNumberFormat="1" applyFont="1" applyFill="1" applyAlignment="1">
      <alignment horizontal="right"/>
    </xf>
    <xf numFmtId="0" fontId="11" fillId="0" borderId="0" xfId="0" applyFont="1"/>
    <xf numFmtId="0" fontId="0" fillId="7" borderId="0" xfId="0" applyFill="1" applyAlignment="1">
      <alignment vertical="center"/>
    </xf>
    <xf numFmtId="0" fontId="0" fillId="4" borderId="0" xfId="0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9" fontId="0" fillId="0" borderId="2" xfId="2" applyFont="1" applyBorder="1"/>
    <xf numFmtId="0" fontId="0" fillId="0" borderId="2" xfId="0" applyFont="1" applyBorder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45720</xdr:colOff>
      <xdr:row>1</xdr:row>
      <xdr:rowOff>95983</xdr:rowOff>
    </xdr:to>
    <xdr:pic>
      <xdr:nvPicPr>
        <xdr:cNvPr id="3" name="Kuva 2">
          <a:extLst>
            <a:ext uri="{FF2B5EF4-FFF2-40B4-BE49-F238E27FC236}">
              <a16:creationId xmlns:a16="http://schemas.microsoft.com/office/drawing/2014/main" id="{4D5C7983-B800-095B-1F50-E79D94E39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3560" cy="278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B9C8-3C17-4558-93BB-3729879936EB}">
  <dimension ref="A1:C39"/>
  <sheetViews>
    <sheetView zoomScale="120" zoomScaleNormal="120" workbookViewId="0">
      <selection activeCell="C16" sqref="C16"/>
    </sheetView>
  </sheetViews>
  <sheetFormatPr defaultColWidth="8.85546875" defaultRowHeight="15" x14ac:dyDescent="0.25"/>
  <cols>
    <col min="1" max="1" width="8.85546875" style="4"/>
    <col min="2" max="2" width="57" customWidth="1"/>
    <col min="3" max="3" width="11.85546875" customWidth="1"/>
  </cols>
  <sheetData>
    <row r="1" spans="1:3" x14ac:dyDescent="0.25">
      <c r="A1" s="69" t="s">
        <v>231</v>
      </c>
    </row>
    <row r="2" spans="1:3" x14ac:dyDescent="0.25">
      <c r="A2" s="69"/>
    </row>
    <row r="3" spans="1:3" x14ac:dyDescent="0.25">
      <c r="A3" s="69"/>
      <c r="B3" s="2" t="s">
        <v>234</v>
      </c>
      <c r="C3" s="79">
        <v>42</v>
      </c>
    </row>
    <row r="5" spans="1:3" x14ac:dyDescent="0.25">
      <c r="A5" s="71" t="s">
        <v>106</v>
      </c>
      <c r="B5" s="60" t="s">
        <v>79</v>
      </c>
      <c r="C5" s="60" t="s">
        <v>232</v>
      </c>
    </row>
    <row r="6" spans="1:3" x14ac:dyDescent="0.25">
      <c r="A6" s="71">
        <v>1</v>
      </c>
      <c r="B6" s="60" t="s">
        <v>577</v>
      </c>
      <c r="C6" s="41">
        <v>8</v>
      </c>
    </row>
    <row r="7" spans="1:3" x14ac:dyDescent="0.25">
      <c r="A7" s="71">
        <v>2</v>
      </c>
      <c r="B7" s="60" t="s">
        <v>233</v>
      </c>
      <c r="C7" s="41">
        <v>16</v>
      </c>
    </row>
    <row r="8" spans="1:3" x14ac:dyDescent="0.25">
      <c r="A8" s="71">
        <v>3</v>
      </c>
      <c r="B8" s="60"/>
      <c r="C8" s="41"/>
    </row>
    <row r="9" spans="1:3" x14ac:dyDescent="0.25">
      <c r="A9" s="71">
        <v>4</v>
      </c>
      <c r="B9" s="60" t="s">
        <v>638</v>
      </c>
      <c r="C9" s="41">
        <v>60</v>
      </c>
    </row>
    <row r="10" spans="1:3" x14ac:dyDescent="0.25">
      <c r="A10" s="71">
        <v>5</v>
      </c>
      <c r="B10" s="60" t="s">
        <v>594</v>
      </c>
      <c r="C10" s="41">
        <v>60</v>
      </c>
    </row>
    <row r="11" spans="1:3" x14ac:dyDescent="0.25">
      <c r="A11" s="71">
        <v>6</v>
      </c>
      <c r="B11" s="60" t="s">
        <v>628</v>
      </c>
      <c r="C11" s="41">
        <v>16</v>
      </c>
    </row>
    <row r="12" spans="1:3" x14ac:dyDescent="0.25">
      <c r="A12" s="71">
        <v>7</v>
      </c>
      <c r="B12" s="60" t="s">
        <v>648</v>
      </c>
      <c r="C12" s="41">
        <v>16</v>
      </c>
    </row>
    <row r="13" spans="1:3" x14ac:dyDescent="0.25">
      <c r="A13" s="71">
        <v>8</v>
      </c>
      <c r="B13" s="60"/>
      <c r="C13" s="41"/>
    </row>
    <row r="14" spans="1:3" x14ac:dyDescent="0.25">
      <c r="A14" s="71">
        <v>9</v>
      </c>
      <c r="B14" s="60" t="s">
        <v>649</v>
      </c>
      <c r="C14" s="41">
        <v>60</v>
      </c>
    </row>
    <row r="15" spans="1:3" x14ac:dyDescent="0.25">
      <c r="A15" s="71">
        <v>10</v>
      </c>
      <c r="B15" s="60"/>
      <c r="C15" s="41"/>
    </row>
    <row r="16" spans="1:3" x14ac:dyDescent="0.25">
      <c r="A16" s="71">
        <v>11</v>
      </c>
      <c r="B16" s="60" t="s">
        <v>654</v>
      </c>
      <c r="C16" s="41">
        <v>60</v>
      </c>
    </row>
    <row r="17" spans="1:3" x14ac:dyDescent="0.25">
      <c r="A17" s="71">
        <v>12</v>
      </c>
      <c r="B17" s="60"/>
      <c r="C17" s="41"/>
    </row>
    <row r="18" spans="1:3" x14ac:dyDescent="0.25">
      <c r="A18" s="71">
        <v>13</v>
      </c>
      <c r="B18" s="60"/>
      <c r="C18" s="41"/>
    </row>
    <row r="19" spans="1:3" x14ac:dyDescent="0.25">
      <c r="A19" s="71">
        <v>14</v>
      </c>
      <c r="B19" s="60"/>
      <c r="C19" s="41"/>
    </row>
    <row r="20" spans="1:3" x14ac:dyDescent="0.25">
      <c r="A20" s="71">
        <v>15</v>
      </c>
      <c r="B20" s="60"/>
      <c r="C20" s="41"/>
    </row>
    <row r="21" spans="1:3" x14ac:dyDescent="0.25">
      <c r="A21" s="71">
        <v>16</v>
      </c>
      <c r="B21" s="60"/>
      <c r="C21" s="41"/>
    </row>
    <row r="22" spans="1:3" x14ac:dyDescent="0.25">
      <c r="A22" s="71">
        <v>17</v>
      </c>
      <c r="B22" s="60"/>
      <c r="C22" s="41"/>
    </row>
    <row r="23" spans="1:3" x14ac:dyDescent="0.25">
      <c r="A23" s="71">
        <v>18</v>
      </c>
      <c r="B23" s="60"/>
      <c r="C23" s="41"/>
    </row>
    <row r="24" spans="1:3" x14ac:dyDescent="0.25">
      <c r="A24" s="71">
        <v>19</v>
      </c>
      <c r="B24" s="60"/>
      <c r="C24" s="41"/>
    </row>
    <row r="25" spans="1:3" x14ac:dyDescent="0.25">
      <c r="A25" s="71">
        <v>20</v>
      </c>
      <c r="B25" s="60"/>
      <c r="C25" s="41"/>
    </row>
    <row r="26" spans="1:3" x14ac:dyDescent="0.25">
      <c r="A26" s="71">
        <v>21</v>
      </c>
      <c r="B26" s="60"/>
      <c r="C26" s="41"/>
    </row>
    <row r="27" spans="1:3" x14ac:dyDescent="0.25">
      <c r="A27" s="71">
        <v>22</v>
      </c>
      <c r="B27" s="60"/>
      <c r="C27" s="41"/>
    </row>
    <row r="28" spans="1:3" x14ac:dyDescent="0.25">
      <c r="A28" s="71">
        <v>23</v>
      </c>
      <c r="B28" s="60"/>
      <c r="C28" s="41"/>
    </row>
    <row r="29" spans="1:3" x14ac:dyDescent="0.25">
      <c r="A29" s="71">
        <v>24</v>
      </c>
      <c r="B29" s="60"/>
      <c r="C29" s="41"/>
    </row>
    <row r="30" spans="1:3" x14ac:dyDescent="0.25">
      <c r="A30" s="71">
        <v>25</v>
      </c>
      <c r="B30" s="60"/>
      <c r="C30" s="41"/>
    </row>
    <row r="31" spans="1:3" x14ac:dyDescent="0.25">
      <c r="A31" s="71">
        <v>26</v>
      </c>
      <c r="B31" s="60"/>
      <c r="C31" s="41"/>
    </row>
    <row r="32" spans="1:3" x14ac:dyDescent="0.25">
      <c r="A32" s="71">
        <v>27</v>
      </c>
      <c r="B32" s="60"/>
      <c r="C32" s="41"/>
    </row>
    <row r="33" spans="1:3" x14ac:dyDescent="0.25">
      <c r="A33" s="71">
        <v>28</v>
      </c>
      <c r="B33" s="60"/>
      <c r="C33" s="41"/>
    </row>
    <row r="34" spans="1:3" x14ac:dyDescent="0.25">
      <c r="A34" s="71">
        <v>29</v>
      </c>
      <c r="B34" s="60"/>
      <c r="C34" s="41"/>
    </row>
    <row r="35" spans="1:3" x14ac:dyDescent="0.25">
      <c r="A35" s="71">
        <v>30</v>
      </c>
      <c r="B35" s="60"/>
      <c r="C35" s="41"/>
    </row>
    <row r="37" spans="1:3" x14ac:dyDescent="0.25">
      <c r="B37" s="2" t="s">
        <v>115</v>
      </c>
      <c r="C37">
        <f>SUM(C6:C36)</f>
        <v>296</v>
      </c>
    </row>
    <row r="39" spans="1:3" x14ac:dyDescent="0.25">
      <c r="B39" s="2" t="s">
        <v>126</v>
      </c>
      <c r="C39" s="30">
        <f>C3*C37</f>
        <v>12432</v>
      </c>
    </row>
  </sheetData>
  <autoFilter ref="C1:C39" xr:uid="{3D5DB9C8-3C17-4558-93BB-3729879936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A6E0-1AD8-4955-8351-5C40A85D9B3D}">
  <dimension ref="A1:F327"/>
  <sheetViews>
    <sheetView topLeftCell="A283" workbookViewId="0">
      <selection activeCell="E5" sqref="E5"/>
    </sheetView>
  </sheetViews>
  <sheetFormatPr defaultColWidth="8.85546875" defaultRowHeight="15" x14ac:dyDescent="0.25"/>
  <cols>
    <col min="2" max="2" width="38.85546875" customWidth="1"/>
    <col min="3" max="3" width="9.42578125" bestFit="1" customWidth="1"/>
    <col min="4" max="4" width="23.42578125" customWidth="1"/>
    <col min="6" max="6" width="16.42578125" customWidth="1"/>
  </cols>
  <sheetData>
    <row r="1" spans="1:6" x14ac:dyDescent="0.25">
      <c r="A1" s="69" t="s">
        <v>298</v>
      </c>
    </row>
    <row r="2" spans="1:6" x14ac:dyDescent="0.25">
      <c r="A2" s="4"/>
    </row>
    <row r="3" spans="1:6" x14ac:dyDescent="0.25">
      <c r="A3" s="71" t="s">
        <v>106</v>
      </c>
      <c r="B3" s="60" t="s">
        <v>79</v>
      </c>
      <c r="C3" s="60" t="s">
        <v>126</v>
      </c>
      <c r="D3" s="60" t="s">
        <v>79</v>
      </c>
      <c r="E3" s="60" t="s">
        <v>18</v>
      </c>
      <c r="F3" s="60" t="s">
        <v>155</v>
      </c>
    </row>
    <row r="4" spans="1:6" x14ac:dyDescent="0.25">
      <c r="A4" s="71">
        <v>1</v>
      </c>
      <c r="B4" s="41" t="s">
        <v>37</v>
      </c>
      <c r="C4" s="86">
        <v>4.8</v>
      </c>
      <c r="D4" s="60"/>
      <c r="E4" s="41">
        <v>35</v>
      </c>
      <c r="F4" s="76">
        <f t="shared" ref="F4:F26" si="0">C4*E4</f>
        <v>168</v>
      </c>
    </row>
    <row r="5" spans="1:6" x14ac:dyDescent="0.25">
      <c r="A5" s="71">
        <v>2</v>
      </c>
      <c r="B5" s="41" t="s">
        <v>38</v>
      </c>
      <c r="C5" s="86">
        <v>3.1</v>
      </c>
      <c r="D5" s="60"/>
      <c r="E5" s="41"/>
      <c r="F5" s="76">
        <f t="shared" si="0"/>
        <v>0</v>
      </c>
    </row>
    <row r="6" spans="1:6" x14ac:dyDescent="0.25">
      <c r="A6" s="71">
        <v>3</v>
      </c>
      <c r="B6" s="41" t="s">
        <v>39</v>
      </c>
      <c r="C6" s="86">
        <v>9.6999999999999993</v>
      </c>
      <c r="D6" s="60"/>
      <c r="E6" s="41"/>
      <c r="F6" s="76">
        <f t="shared" si="0"/>
        <v>0</v>
      </c>
    </row>
    <row r="7" spans="1:6" x14ac:dyDescent="0.25">
      <c r="A7" s="71">
        <v>4</v>
      </c>
      <c r="B7" s="41" t="s">
        <v>40</v>
      </c>
      <c r="C7" s="86">
        <v>1.5</v>
      </c>
      <c r="D7" s="60"/>
      <c r="E7" s="41"/>
      <c r="F7" s="76">
        <f t="shared" si="0"/>
        <v>0</v>
      </c>
    </row>
    <row r="8" spans="1:6" x14ac:dyDescent="0.25">
      <c r="A8" s="71">
        <v>5</v>
      </c>
      <c r="B8" s="41" t="s">
        <v>41</v>
      </c>
      <c r="C8" s="86">
        <v>1.4</v>
      </c>
      <c r="D8" s="60"/>
      <c r="E8" s="41"/>
      <c r="F8" s="76">
        <f t="shared" si="0"/>
        <v>0</v>
      </c>
    </row>
    <row r="9" spans="1:6" x14ac:dyDescent="0.25">
      <c r="A9" s="71">
        <v>6</v>
      </c>
      <c r="B9" s="41" t="s">
        <v>42</v>
      </c>
      <c r="C9" s="86">
        <v>2.9</v>
      </c>
      <c r="D9" s="60"/>
      <c r="E9" s="41"/>
      <c r="F9" s="76">
        <f t="shared" si="0"/>
        <v>0</v>
      </c>
    </row>
    <row r="10" spans="1:6" x14ac:dyDescent="0.25">
      <c r="A10" s="71">
        <v>7</v>
      </c>
      <c r="B10" s="41" t="s">
        <v>43</v>
      </c>
      <c r="C10" s="86">
        <v>1.7</v>
      </c>
      <c r="D10" s="60"/>
      <c r="E10" s="41"/>
      <c r="F10" s="76">
        <f t="shared" si="0"/>
        <v>0</v>
      </c>
    </row>
    <row r="11" spans="1:6" x14ac:dyDescent="0.25">
      <c r="A11" s="71">
        <v>8</v>
      </c>
      <c r="B11" s="41" t="s">
        <v>44</v>
      </c>
      <c r="C11" s="86">
        <v>1.6</v>
      </c>
      <c r="D11" s="60"/>
      <c r="E11" s="41"/>
      <c r="F11" s="76">
        <f t="shared" si="0"/>
        <v>0</v>
      </c>
    </row>
    <row r="12" spans="1:6" x14ac:dyDescent="0.25">
      <c r="A12" s="71">
        <v>9</v>
      </c>
      <c r="B12" s="41" t="s">
        <v>45</v>
      </c>
      <c r="C12" s="86">
        <v>2.6</v>
      </c>
      <c r="D12" s="60"/>
      <c r="E12" s="41"/>
      <c r="F12" s="76">
        <f t="shared" si="0"/>
        <v>0</v>
      </c>
    </row>
    <row r="13" spans="1:6" x14ac:dyDescent="0.25">
      <c r="A13" s="71">
        <v>10</v>
      </c>
      <c r="B13" s="41" t="s">
        <v>46</v>
      </c>
      <c r="C13" s="86">
        <v>4.7</v>
      </c>
      <c r="D13" s="60"/>
      <c r="E13" s="41"/>
      <c r="F13" s="76">
        <f t="shared" si="0"/>
        <v>0</v>
      </c>
    </row>
    <row r="14" spans="1:6" x14ac:dyDescent="0.25">
      <c r="A14" s="71">
        <v>11</v>
      </c>
      <c r="B14" s="41" t="s">
        <v>47</v>
      </c>
      <c r="C14" s="86">
        <v>2.2999999999999998</v>
      </c>
      <c r="D14" s="60"/>
      <c r="E14" s="41"/>
      <c r="F14" s="76">
        <f t="shared" si="0"/>
        <v>0</v>
      </c>
    </row>
    <row r="15" spans="1:6" x14ac:dyDescent="0.25">
      <c r="A15" s="71">
        <v>12</v>
      </c>
      <c r="B15" s="41" t="s">
        <v>48</v>
      </c>
      <c r="C15" s="86"/>
      <c r="D15" s="60"/>
      <c r="E15" s="41"/>
      <c r="F15" s="76">
        <f t="shared" si="0"/>
        <v>0</v>
      </c>
    </row>
    <row r="16" spans="1:6" x14ac:dyDescent="0.25">
      <c r="A16" s="71">
        <v>13</v>
      </c>
      <c r="B16" s="41" t="s">
        <v>49</v>
      </c>
      <c r="C16" s="86">
        <v>2.1800000000000002</v>
      </c>
      <c r="D16" s="60"/>
      <c r="E16" s="41"/>
      <c r="F16" s="76">
        <f t="shared" si="0"/>
        <v>0</v>
      </c>
    </row>
    <row r="17" spans="1:6" x14ac:dyDescent="0.25">
      <c r="A17" s="71">
        <v>14</v>
      </c>
      <c r="B17" s="41" t="s">
        <v>50</v>
      </c>
      <c r="C17" s="86">
        <v>4.0999999999999996</v>
      </c>
      <c r="D17" s="60"/>
      <c r="E17" s="41"/>
      <c r="F17" s="76">
        <f t="shared" si="0"/>
        <v>0</v>
      </c>
    </row>
    <row r="18" spans="1:6" x14ac:dyDescent="0.25">
      <c r="A18" s="71">
        <v>15</v>
      </c>
      <c r="B18" s="41" t="s">
        <v>51</v>
      </c>
      <c r="C18" s="86">
        <v>2.1800000000000002</v>
      </c>
      <c r="D18" s="60"/>
      <c r="E18" s="41"/>
      <c r="F18" s="76">
        <f t="shared" si="0"/>
        <v>0</v>
      </c>
    </row>
    <row r="19" spans="1:6" x14ac:dyDescent="0.25">
      <c r="A19" s="71">
        <v>16</v>
      </c>
      <c r="B19" s="41" t="s">
        <v>52</v>
      </c>
      <c r="C19" s="86">
        <v>4.24</v>
      </c>
      <c r="D19" s="60"/>
      <c r="E19" s="41"/>
      <c r="F19" s="76">
        <f t="shared" si="0"/>
        <v>0</v>
      </c>
    </row>
    <row r="20" spans="1:6" x14ac:dyDescent="0.25">
      <c r="A20" s="71">
        <v>17</v>
      </c>
      <c r="B20" s="41" t="s">
        <v>501</v>
      </c>
      <c r="C20" s="86">
        <v>7.84</v>
      </c>
      <c r="D20" s="60"/>
      <c r="E20" s="41"/>
      <c r="F20" s="76">
        <f t="shared" si="0"/>
        <v>0</v>
      </c>
    </row>
    <row r="21" spans="1:6" x14ac:dyDescent="0.25">
      <c r="A21" s="71">
        <v>18</v>
      </c>
      <c r="B21" s="41" t="s">
        <v>502</v>
      </c>
      <c r="C21" s="86">
        <v>7.05</v>
      </c>
      <c r="D21" s="60"/>
      <c r="E21" s="41"/>
      <c r="F21" s="76">
        <f t="shared" si="0"/>
        <v>0</v>
      </c>
    </row>
    <row r="22" spans="1:6" x14ac:dyDescent="0.25">
      <c r="A22" s="71">
        <v>19</v>
      </c>
      <c r="B22" s="41" t="s">
        <v>503</v>
      </c>
      <c r="C22" s="86">
        <v>6.44</v>
      </c>
      <c r="D22" s="60"/>
      <c r="E22" s="41"/>
      <c r="F22" s="76">
        <f t="shared" si="0"/>
        <v>0</v>
      </c>
    </row>
    <row r="23" spans="1:6" x14ac:dyDescent="0.25">
      <c r="A23" s="71">
        <v>20</v>
      </c>
      <c r="B23" s="41" t="s">
        <v>504</v>
      </c>
      <c r="C23" s="86">
        <v>6.54</v>
      </c>
      <c r="D23" s="60"/>
      <c r="E23" s="41"/>
      <c r="F23" s="76">
        <f t="shared" si="0"/>
        <v>0</v>
      </c>
    </row>
    <row r="24" spans="1:6" x14ac:dyDescent="0.25">
      <c r="A24" s="71">
        <v>21</v>
      </c>
      <c r="B24" s="41" t="s">
        <v>505</v>
      </c>
      <c r="C24" s="86">
        <v>7.2</v>
      </c>
      <c r="D24" s="60"/>
      <c r="E24" s="41"/>
      <c r="F24" s="76">
        <f t="shared" si="0"/>
        <v>0</v>
      </c>
    </row>
    <row r="25" spans="1:6" x14ac:dyDescent="0.25">
      <c r="A25" s="71">
        <v>22</v>
      </c>
      <c r="B25" s="41" t="s">
        <v>506</v>
      </c>
      <c r="C25" s="86">
        <v>10.199999999999999</v>
      </c>
      <c r="D25" s="60"/>
      <c r="E25" s="41"/>
      <c r="F25" s="76">
        <f t="shared" si="0"/>
        <v>0</v>
      </c>
    </row>
    <row r="26" spans="1:6" x14ac:dyDescent="0.25">
      <c r="A26" s="71">
        <v>23</v>
      </c>
      <c r="B26" s="41" t="s">
        <v>581</v>
      </c>
      <c r="C26" s="86">
        <v>500</v>
      </c>
      <c r="D26" s="60"/>
      <c r="E26" s="41"/>
      <c r="F26" s="76">
        <f t="shared" si="0"/>
        <v>0</v>
      </c>
    </row>
    <row r="27" spans="1:6" x14ac:dyDescent="0.25">
      <c r="A27" s="71">
        <v>24</v>
      </c>
      <c r="B27" s="41" t="s">
        <v>507</v>
      </c>
      <c r="C27" s="86">
        <v>9.1999999999999993</v>
      </c>
      <c r="D27" s="60"/>
      <c r="E27" s="41"/>
      <c r="F27" s="76">
        <f t="shared" ref="F27:F68" si="1">C27*E27</f>
        <v>0</v>
      </c>
    </row>
    <row r="28" spans="1:6" x14ac:dyDescent="0.25">
      <c r="A28" s="71">
        <v>25</v>
      </c>
      <c r="B28" s="41" t="s">
        <v>508</v>
      </c>
      <c r="C28" s="86">
        <v>22.78</v>
      </c>
      <c r="D28" s="60"/>
      <c r="E28" s="41"/>
      <c r="F28" s="76">
        <f t="shared" si="1"/>
        <v>0</v>
      </c>
    </row>
    <row r="29" spans="1:6" x14ac:dyDescent="0.25">
      <c r="A29" s="71">
        <v>26</v>
      </c>
      <c r="B29" s="41" t="s">
        <v>509</v>
      </c>
      <c r="C29" s="86">
        <v>7.26</v>
      </c>
      <c r="D29" s="60" t="s">
        <v>585</v>
      </c>
      <c r="E29" s="41"/>
      <c r="F29" s="76">
        <f t="shared" si="1"/>
        <v>0</v>
      </c>
    </row>
    <row r="30" spans="1:6" x14ac:dyDescent="0.25">
      <c r="A30" s="71">
        <v>27</v>
      </c>
      <c r="B30" s="41" t="s">
        <v>510</v>
      </c>
      <c r="C30" s="86">
        <v>16.86</v>
      </c>
      <c r="D30" s="60"/>
      <c r="E30" s="41"/>
      <c r="F30" s="76">
        <f t="shared" si="1"/>
        <v>0</v>
      </c>
    </row>
    <row r="31" spans="1:6" x14ac:dyDescent="0.25">
      <c r="A31" s="71">
        <v>28</v>
      </c>
      <c r="B31" s="41" t="s">
        <v>511</v>
      </c>
      <c r="C31" s="86">
        <v>19.989999999999998</v>
      </c>
      <c r="D31" s="60"/>
      <c r="E31" s="41"/>
      <c r="F31" s="76">
        <f t="shared" si="1"/>
        <v>0</v>
      </c>
    </row>
    <row r="32" spans="1:6" x14ac:dyDescent="0.25">
      <c r="A32" s="71">
        <v>29</v>
      </c>
      <c r="B32" s="41" t="s">
        <v>512</v>
      </c>
      <c r="C32" s="86">
        <v>23.69</v>
      </c>
      <c r="D32" s="60"/>
      <c r="E32" s="41"/>
      <c r="F32" s="76">
        <f t="shared" si="1"/>
        <v>0</v>
      </c>
    </row>
    <row r="33" spans="1:6" x14ac:dyDescent="0.25">
      <c r="A33" s="71">
        <v>30</v>
      </c>
      <c r="B33" s="41" t="s">
        <v>513</v>
      </c>
      <c r="C33" s="86">
        <v>22.97</v>
      </c>
      <c r="D33" s="60"/>
      <c r="E33" s="41"/>
      <c r="F33" s="76">
        <f t="shared" si="1"/>
        <v>0</v>
      </c>
    </row>
    <row r="34" spans="1:6" x14ac:dyDescent="0.25">
      <c r="A34" s="71">
        <v>31</v>
      </c>
      <c r="B34" s="41" t="s">
        <v>514</v>
      </c>
      <c r="C34" s="86">
        <v>48.92</v>
      </c>
      <c r="D34" s="60"/>
      <c r="E34" s="41"/>
      <c r="F34" s="76">
        <f t="shared" si="1"/>
        <v>0</v>
      </c>
    </row>
    <row r="35" spans="1:6" x14ac:dyDescent="0.25">
      <c r="A35" s="71">
        <v>32</v>
      </c>
      <c r="B35" s="41" t="s">
        <v>515</v>
      </c>
      <c r="C35" s="86">
        <v>1.08</v>
      </c>
      <c r="D35" s="60"/>
      <c r="E35" s="41"/>
      <c r="F35" s="76">
        <f t="shared" si="1"/>
        <v>0</v>
      </c>
    </row>
    <row r="36" spans="1:6" x14ac:dyDescent="0.25">
      <c r="A36" s="71">
        <v>33</v>
      </c>
      <c r="B36" s="41" t="s">
        <v>516</v>
      </c>
      <c r="C36" s="86">
        <v>17.350000000000001</v>
      </c>
      <c r="D36" s="60"/>
      <c r="E36" s="41"/>
      <c r="F36" s="76">
        <f t="shared" si="1"/>
        <v>0</v>
      </c>
    </row>
    <row r="37" spans="1:6" x14ac:dyDescent="0.25">
      <c r="A37" s="71">
        <v>34</v>
      </c>
      <c r="B37" s="41" t="s">
        <v>517</v>
      </c>
      <c r="C37" s="86">
        <v>28.5</v>
      </c>
      <c r="D37" s="60"/>
      <c r="E37" s="41"/>
      <c r="F37" s="76">
        <f t="shared" si="1"/>
        <v>0</v>
      </c>
    </row>
    <row r="38" spans="1:6" x14ac:dyDescent="0.25">
      <c r="A38" s="71">
        <v>35</v>
      </c>
      <c r="B38" s="41" t="s">
        <v>518</v>
      </c>
      <c r="C38" s="86">
        <v>42.02</v>
      </c>
      <c r="D38" s="60"/>
      <c r="E38" s="41"/>
      <c r="F38" s="76">
        <f t="shared" si="1"/>
        <v>0</v>
      </c>
    </row>
    <row r="39" spans="1:6" x14ac:dyDescent="0.25">
      <c r="A39" s="71">
        <v>36</v>
      </c>
      <c r="B39" s="41" t="s">
        <v>519</v>
      </c>
      <c r="C39" s="86">
        <v>27.94</v>
      </c>
      <c r="D39" s="60"/>
      <c r="E39" s="41"/>
      <c r="F39" s="76">
        <f t="shared" si="1"/>
        <v>0</v>
      </c>
    </row>
    <row r="40" spans="1:6" x14ac:dyDescent="0.25">
      <c r="A40" s="71">
        <v>37</v>
      </c>
      <c r="B40" s="41" t="s">
        <v>520</v>
      </c>
      <c r="C40" s="86">
        <v>66.37</v>
      </c>
      <c r="D40" s="60"/>
      <c r="E40" s="41"/>
      <c r="F40" s="76">
        <f t="shared" si="1"/>
        <v>0</v>
      </c>
    </row>
    <row r="41" spans="1:6" x14ac:dyDescent="0.25">
      <c r="A41" s="71">
        <v>38</v>
      </c>
      <c r="B41" s="41" t="s">
        <v>521</v>
      </c>
      <c r="C41" s="86">
        <v>12.75</v>
      </c>
      <c r="D41" s="60"/>
      <c r="E41" s="41"/>
      <c r="F41" s="76">
        <f t="shared" si="1"/>
        <v>0</v>
      </c>
    </row>
    <row r="42" spans="1:6" x14ac:dyDescent="0.25">
      <c r="A42" s="71">
        <v>39</v>
      </c>
      <c r="B42" s="41" t="s">
        <v>522</v>
      </c>
      <c r="C42" s="86">
        <v>46.15</v>
      </c>
      <c r="D42" s="60"/>
      <c r="E42" s="41"/>
      <c r="F42" s="76">
        <f t="shared" si="1"/>
        <v>0</v>
      </c>
    </row>
    <row r="43" spans="1:6" x14ac:dyDescent="0.25">
      <c r="A43" s="71">
        <v>40</v>
      </c>
      <c r="B43" s="41"/>
      <c r="C43" s="41"/>
      <c r="D43" s="60"/>
      <c r="E43" s="41"/>
      <c r="F43" s="76">
        <f t="shared" si="1"/>
        <v>0</v>
      </c>
    </row>
    <row r="44" spans="1:6" x14ac:dyDescent="0.25">
      <c r="A44" s="71">
        <v>41</v>
      </c>
      <c r="B44" s="41" t="s">
        <v>299</v>
      </c>
      <c r="C44" s="86">
        <v>0.6</v>
      </c>
      <c r="D44" s="60"/>
      <c r="E44" s="41"/>
      <c r="F44" s="76">
        <f t="shared" si="1"/>
        <v>0</v>
      </c>
    </row>
    <row r="45" spans="1:6" x14ac:dyDescent="0.25">
      <c r="A45" s="71">
        <v>42</v>
      </c>
      <c r="B45" s="41" t="s">
        <v>595</v>
      </c>
      <c r="C45" s="86">
        <v>200</v>
      </c>
      <c r="D45" s="60"/>
      <c r="E45" s="41"/>
      <c r="F45" s="76">
        <f t="shared" si="1"/>
        <v>0</v>
      </c>
    </row>
    <row r="46" spans="1:6" x14ac:dyDescent="0.25">
      <c r="A46" s="71">
        <v>43</v>
      </c>
      <c r="B46" s="41" t="s">
        <v>592</v>
      </c>
      <c r="C46" s="86">
        <v>3.71</v>
      </c>
      <c r="D46" s="60"/>
      <c r="E46" s="41"/>
      <c r="F46" s="76">
        <f t="shared" si="1"/>
        <v>0</v>
      </c>
    </row>
    <row r="47" spans="1:6" x14ac:dyDescent="0.25">
      <c r="A47" s="71">
        <v>44</v>
      </c>
      <c r="B47" s="41" t="s">
        <v>593</v>
      </c>
      <c r="C47" s="86">
        <v>17.57</v>
      </c>
      <c r="D47" s="60"/>
      <c r="E47" s="41"/>
      <c r="F47" s="76">
        <f t="shared" si="1"/>
        <v>0</v>
      </c>
    </row>
    <row r="48" spans="1:6" x14ac:dyDescent="0.25">
      <c r="A48" s="71">
        <v>45</v>
      </c>
      <c r="B48" s="41" t="s">
        <v>596</v>
      </c>
      <c r="C48" s="86">
        <v>120</v>
      </c>
      <c r="D48" s="60"/>
      <c r="E48" s="41"/>
      <c r="F48" s="76">
        <f t="shared" si="1"/>
        <v>0</v>
      </c>
    </row>
    <row r="49" spans="1:6" x14ac:dyDescent="0.25">
      <c r="A49" s="71">
        <v>46</v>
      </c>
      <c r="B49" s="41" t="s">
        <v>597</v>
      </c>
      <c r="C49" s="86">
        <v>500</v>
      </c>
      <c r="D49" s="60"/>
      <c r="E49" s="41"/>
      <c r="F49" s="76">
        <f t="shared" si="1"/>
        <v>0</v>
      </c>
    </row>
    <row r="50" spans="1:6" x14ac:dyDescent="0.25">
      <c r="A50" s="71">
        <v>47</v>
      </c>
      <c r="B50" s="41" t="s">
        <v>304</v>
      </c>
      <c r="C50" s="86">
        <v>6.58</v>
      </c>
      <c r="D50" s="60"/>
      <c r="E50" s="41"/>
      <c r="F50" s="76">
        <f t="shared" si="1"/>
        <v>0</v>
      </c>
    </row>
    <row r="51" spans="1:6" x14ac:dyDescent="0.25">
      <c r="A51" s="71">
        <v>48</v>
      </c>
      <c r="B51" s="41" t="s">
        <v>305</v>
      </c>
      <c r="C51" s="86">
        <v>54.5</v>
      </c>
      <c r="D51" s="60"/>
      <c r="E51" s="41"/>
      <c r="F51" s="76">
        <f t="shared" si="1"/>
        <v>0</v>
      </c>
    </row>
    <row r="52" spans="1:6" x14ac:dyDescent="0.25">
      <c r="A52" s="71">
        <v>49</v>
      </c>
      <c r="B52" s="41" t="s">
        <v>306</v>
      </c>
      <c r="C52" s="86">
        <v>6.1</v>
      </c>
      <c r="D52" s="60"/>
      <c r="E52" s="41"/>
      <c r="F52" s="76">
        <f t="shared" si="1"/>
        <v>0</v>
      </c>
    </row>
    <row r="53" spans="1:6" x14ac:dyDescent="0.25">
      <c r="A53" s="71">
        <v>50</v>
      </c>
      <c r="B53" s="41" t="s">
        <v>307</v>
      </c>
      <c r="C53" s="86">
        <v>14.63</v>
      </c>
      <c r="D53" s="60"/>
      <c r="E53" s="41"/>
      <c r="F53" s="76">
        <f t="shared" si="1"/>
        <v>0</v>
      </c>
    </row>
    <row r="54" spans="1:6" x14ac:dyDescent="0.25">
      <c r="A54" s="71">
        <v>51</v>
      </c>
      <c r="B54" s="41" t="s">
        <v>308</v>
      </c>
      <c r="C54" s="86">
        <v>14.26</v>
      </c>
      <c r="D54" s="60"/>
      <c r="E54" s="41"/>
      <c r="F54" s="76">
        <f t="shared" si="1"/>
        <v>0</v>
      </c>
    </row>
    <row r="55" spans="1:6" x14ac:dyDescent="0.25">
      <c r="A55" s="71">
        <v>52</v>
      </c>
      <c r="B55" s="41" t="s">
        <v>309</v>
      </c>
      <c r="C55" s="86">
        <v>22.97</v>
      </c>
      <c r="D55" s="60"/>
      <c r="E55" s="41"/>
      <c r="F55" s="76">
        <f t="shared" si="1"/>
        <v>0</v>
      </c>
    </row>
    <row r="56" spans="1:6" x14ac:dyDescent="0.25">
      <c r="A56" s="71">
        <v>53</v>
      </c>
      <c r="B56" s="41"/>
      <c r="C56" s="86"/>
      <c r="D56" s="60"/>
      <c r="E56" s="41"/>
      <c r="F56" s="76">
        <f t="shared" si="1"/>
        <v>0</v>
      </c>
    </row>
    <row r="57" spans="1:6" x14ac:dyDescent="0.25">
      <c r="A57" s="71">
        <v>54</v>
      </c>
      <c r="B57" s="41" t="s">
        <v>310</v>
      </c>
      <c r="C57" s="86">
        <v>8.0299999999999994</v>
      </c>
      <c r="D57" s="60"/>
      <c r="E57" s="41"/>
      <c r="F57" s="76">
        <f t="shared" si="1"/>
        <v>0</v>
      </c>
    </row>
    <row r="58" spans="1:6" x14ac:dyDescent="0.25">
      <c r="A58" s="71">
        <v>55</v>
      </c>
      <c r="B58" s="41" t="s">
        <v>311</v>
      </c>
      <c r="C58" s="86">
        <v>30.66</v>
      </c>
      <c r="D58" s="60"/>
      <c r="E58" s="41"/>
      <c r="F58" s="76">
        <f t="shared" si="1"/>
        <v>0</v>
      </c>
    </row>
    <row r="59" spans="1:6" x14ac:dyDescent="0.25">
      <c r="A59" s="71">
        <v>56</v>
      </c>
      <c r="B59" s="41" t="s">
        <v>312</v>
      </c>
      <c r="C59" s="86">
        <v>45.48</v>
      </c>
      <c r="D59" s="60"/>
      <c r="E59" s="41"/>
      <c r="F59" s="76">
        <f t="shared" si="1"/>
        <v>0</v>
      </c>
    </row>
    <row r="60" spans="1:6" x14ac:dyDescent="0.25">
      <c r="A60" s="71">
        <v>57</v>
      </c>
      <c r="B60" s="41" t="s">
        <v>313</v>
      </c>
      <c r="C60" s="86">
        <v>8.93</v>
      </c>
      <c r="D60" s="60"/>
      <c r="E60" s="41"/>
      <c r="F60" s="76">
        <f t="shared" si="1"/>
        <v>0</v>
      </c>
    </row>
    <row r="61" spans="1:6" x14ac:dyDescent="0.25">
      <c r="A61" s="71">
        <v>58</v>
      </c>
      <c r="B61" s="41" t="s">
        <v>314</v>
      </c>
      <c r="C61" s="86">
        <v>2.4700000000000002</v>
      </c>
      <c r="D61" s="60"/>
      <c r="E61" s="41"/>
      <c r="F61" s="76">
        <f t="shared" si="1"/>
        <v>0</v>
      </c>
    </row>
    <row r="62" spans="1:6" x14ac:dyDescent="0.25">
      <c r="A62" s="71">
        <v>59</v>
      </c>
      <c r="B62" s="41" t="s">
        <v>315</v>
      </c>
      <c r="C62" s="86">
        <v>3.92</v>
      </c>
      <c r="D62" s="60"/>
      <c r="E62" s="41"/>
      <c r="F62" s="76">
        <f t="shared" si="1"/>
        <v>0</v>
      </c>
    </row>
    <row r="63" spans="1:6" x14ac:dyDescent="0.25">
      <c r="A63" s="71">
        <v>60</v>
      </c>
      <c r="B63" s="41" t="s">
        <v>316</v>
      </c>
      <c r="C63" s="86">
        <v>19.190000000000001</v>
      </c>
      <c r="D63" s="60"/>
      <c r="E63" s="41"/>
      <c r="F63" s="76">
        <f t="shared" si="1"/>
        <v>0</v>
      </c>
    </row>
    <row r="64" spans="1:6" x14ac:dyDescent="0.25">
      <c r="A64" s="71">
        <v>61</v>
      </c>
      <c r="B64" s="41" t="s">
        <v>317</v>
      </c>
      <c r="C64" s="86">
        <v>12.94</v>
      </c>
      <c r="D64" s="60"/>
      <c r="E64" s="41"/>
      <c r="F64" s="76">
        <f t="shared" si="1"/>
        <v>0</v>
      </c>
    </row>
    <row r="65" spans="1:6" x14ac:dyDescent="0.25">
      <c r="A65" s="71">
        <v>62</v>
      </c>
      <c r="B65" s="41"/>
      <c r="C65" s="86"/>
      <c r="D65" s="60"/>
      <c r="E65" s="41"/>
      <c r="F65" s="76">
        <f t="shared" si="1"/>
        <v>0</v>
      </c>
    </row>
    <row r="66" spans="1:6" x14ac:dyDescent="0.25">
      <c r="A66" s="71">
        <v>63</v>
      </c>
      <c r="B66" s="41" t="s">
        <v>318</v>
      </c>
      <c r="C66" s="86">
        <v>6.1</v>
      </c>
      <c r="D66" s="60"/>
      <c r="E66" s="41"/>
      <c r="F66" s="76">
        <f t="shared" si="1"/>
        <v>0</v>
      </c>
    </row>
    <row r="67" spans="1:6" x14ac:dyDescent="0.25">
      <c r="A67" s="71">
        <v>64</v>
      </c>
      <c r="B67" s="41" t="s">
        <v>319</v>
      </c>
      <c r="C67" s="86">
        <v>3.76</v>
      </c>
      <c r="D67" s="60"/>
      <c r="E67" s="41"/>
      <c r="F67" s="76">
        <f t="shared" si="1"/>
        <v>0</v>
      </c>
    </row>
    <row r="68" spans="1:6" x14ac:dyDescent="0.25">
      <c r="A68" s="71">
        <v>65</v>
      </c>
      <c r="B68" s="41" t="s">
        <v>320</v>
      </c>
      <c r="C68" s="86">
        <v>4.26</v>
      </c>
      <c r="D68" s="60"/>
      <c r="E68" s="41"/>
      <c r="F68" s="76">
        <f t="shared" si="1"/>
        <v>0</v>
      </c>
    </row>
    <row r="69" spans="1:6" x14ac:dyDescent="0.25">
      <c r="A69" s="71">
        <v>66</v>
      </c>
      <c r="B69" s="41"/>
      <c r="C69" s="86"/>
      <c r="D69" s="60"/>
      <c r="E69" s="41"/>
      <c r="F69" s="76">
        <f t="shared" ref="F69:F132" si="2">C69*E69</f>
        <v>0</v>
      </c>
    </row>
    <row r="70" spans="1:6" x14ac:dyDescent="0.25">
      <c r="A70" s="71">
        <v>67</v>
      </c>
      <c r="B70" s="41" t="s">
        <v>300</v>
      </c>
      <c r="C70" s="86">
        <v>4.6900000000000004</v>
      </c>
      <c r="D70" s="60" t="s">
        <v>18</v>
      </c>
      <c r="E70" s="41"/>
      <c r="F70" s="76">
        <f t="shared" si="2"/>
        <v>0</v>
      </c>
    </row>
    <row r="71" spans="1:6" x14ac:dyDescent="0.25">
      <c r="A71" s="71">
        <v>68</v>
      </c>
      <c r="B71" s="41" t="s">
        <v>600</v>
      </c>
      <c r="C71" s="86">
        <v>28</v>
      </c>
      <c r="D71" s="60" t="s">
        <v>18</v>
      </c>
      <c r="E71" s="41"/>
      <c r="F71" s="76">
        <f t="shared" si="2"/>
        <v>0</v>
      </c>
    </row>
    <row r="72" spans="1:6" x14ac:dyDescent="0.25">
      <c r="A72" s="71">
        <v>69</v>
      </c>
      <c r="B72" s="41" t="s">
        <v>301</v>
      </c>
      <c r="C72" s="86">
        <v>4.59</v>
      </c>
      <c r="D72" s="60" t="s">
        <v>564</v>
      </c>
      <c r="E72" s="41"/>
      <c r="F72" s="76">
        <f t="shared" si="2"/>
        <v>0</v>
      </c>
    </row>
    <row r="73" spans="1:6" x14ac:dyDescent="0.25">
      <c r="A73" s="71">
        <v>70</v>
      </c>
      <c r="B73" s="41" t="s">
        <v>302</v>
      </c>
      <c r="C73" s="86">
        <v>21.9</v>
      </c>
      <c r="D73" s="60" t="s">
        <v>564</v>
      </c>
      <c r="E73" s="41"/>
      <c r="F73" s="76">
        <f t="shared" si="2"/>
        <v>0</v>
      </c>
    </row>
    <row r="74" spans="1:6" x14ac:dyDescent="0.25">
      <c r="A74" s="71">
        <v>71</v>
      </c>
      <c r="B74" s="41" t="s">
        <v>321</v>
      </c>
      <c r="C74" s="86">
        <v>19.190000000000001</v>
      </c>
      <c r="D74" s="60"/>
      <c r="E74" s="41"/>
      <c r="F74" s="76">
        <f t="shared" si="2"/>
        <v>0</v>
      </c>
    </row>
    <row r="75" spans="1:6" x14ac:dyDescent="0.25">
      <c r="A75" s="71">
        <v>72</v>
      </c>
      <c r="B75" s="41" t="s">
        <v>303</v>
      </c>
      <c r="C75" s="86">
        <v>79.03</v>
      </c>
      <c r="D75" s="60"/>
      <c r="E75" s="41"/>
      <c r="F75" s="76">
        <f t="shared" si="2"/>
        <v>0</v>
      </c>
    </row>
    <row r="76" spans="1:6" x14ac:dyDescent="0.25">
      <c r="A76" s="71">
        <v>73</v>
      </c>
      <c r="B76" s="41" t="s">
        <v>304</v>
      </c>
      <c r="C76" s="86">
        <v>6.58</v>
      </c>
      <c r="D76" s="60"/>
      <c r="E76" s="41"/>
      <c r="F76" s="76">
        <f t="shared" si="2"/>
        <v>0</v>
      </c>
    </row>
    <row r="77" spans="1:6" x14ac:dyDescent="0.25">
      <c r="A77" s="71">
        <v>74</v>
      </c>
      <c r="B77" s="41" t="s">
        <v>305</v>
      </c>
      <c r="C77" s="86">
        <v>54.5</v>
      </c>
      <c r="D77" s="60"/>
      <c r="E77" s="41"/>
      <c r="F77" s="76">
        <f t="shared" si="2"/>
        <v>0</v>
      </c>
    </row>
    <row r="78" spans="1:6" x14ac:dyDescent="0.25">
      <c r="A78" s="71">
        <v>75</v>
      </c>
      <c r="B78" s="41" t="s">
        <v>322</v>
      </c>
      <c r="C78" s="86">
        <v>3.64</v>
      </c>
      <c r="D78" s="60"/>
      <c r="E78" s="41"/>
      <c r="F78" s="76">
        <f t="shared" si="2"/>
        <v>0</v>
      </c>
    </row>
    <row r="79" spans="1:6" x14ac:dyDescent="0.25">
      <c r="A79" s="71">
        <v>76</v>
      </c>
      <c r="B79" s="41" t="s">
        <v>323</v>
      </c>
      <c r="C79" s="86">
        <v>4.38</v>
      </c>
      <c r="D79" s="60"/>
      <c r="E79" s="41"/>
      <c r="F79" s="76">
        <f t="shared" si="2"/>
        <v>0</v>
      </c>
    </row>
    <row r="80" spans="1:6" x14ac:dyDescent="0.25">
      <c r="A80" s="71">
        <v>77</v>
      </c>
      <c r="B80" s="41" t="s">
        <v>324</v>
      </c>
      <c r="C80" s="86">
        <v>5.04</v>
      </c>
      <c r="D80" s="60"/>
      <c r="E80" s="41"/>
      <c r="F80" s="76">
        <f t="shared" si="2"/>
        <v>0</v>
      </c>
    </row>
    <row r="81" spans="1:6" x14ac:dyDescent="0.25">
      <c r="A81" s="71">
        <v>78</v>
      </c>
      <c r="B81" s="41" t="s">
        <v>325</v>
      </c>
      <c r="C81" s="86">
        <v>2.42</v>
      </c>
      <c r="D81" s="60"/>
      <c r="E81" s="41"/>
      <c r="F81" s="76">
        <f t="shared" si="2"/>
        <v>0</v>
      </c>
    </row>
    <row r="82" spans="1:6" x14ac:dyDescent="0.25">
      <c r="A82" s="71">
        <v>79</v>
      </c>
      <c r="B82" s="41" t="s">
        <v>326</v>
      </c>
      <c r="C82" s="86">
        <v>6.79</v>
      </c>
      <c r="D82" s="60"/>
      <c r="E82" s="41"/>
      <c r="F82" s="76">
        <f t="shared" si="2"/>
        <v>0</v>
      </c>
    </row>
    <row r="83" spans="1:6" x14ac:dyDescent="0.25">
      <c r="A83" s="71">
        <v>80</v>
      </c>
      <c r="B83" s="41" t="s">
        <v>327</v>
      </c>
      <c r="C83" s="86">
        <v>6.55</v>
      </c>
      <c r="D83" s="60"/>
      <c r="E83" s="41"/>
      <c r="F83" s="76">
        <f t="shared" si="2"/>
        <v>0</v>
      </c>
    </row>
    <row r="84" spans="1:6" x14ac:dyDescent="0.25">
      <c r="A84" s="71">
        <v>81</v>
      </c>
      <c r="B84" s="41" t="s">
        <v>328</v>
      </c>
      <c r="C84" s="86">
        <v>12.9</v>
      </c>
      <c r="D84" s="60"/>
      <c r="E84" s="41"/>
      <c r="F84" s="76">
        <f t="shared" si="2"/>
        <v>0</v>
      </c>
    </row>
    <row r="85" spans="1:6" x14ac:dyDescent="0.25">
      <c r="A85" s="71">
        <v>82</v>
      </c>
      <c r="B85" s="41" t="s">
        <v>329</v>
      </c>
      <c r="C85" s="86">
        <v>1.7</v>
      </c>
      <c r="D85" s="60"/>
      <c r="E85" s="41"/>
      <c r="F85" s="76">
        <f t="shared" si="2"/>
        <v>0</v>
      </c>
    </row>
    <row r="86" spans="1:6" x14ac:dyDescent="0.25">
      <c r="A86" s="71">
        <v>83</v>
      </c>
      <c r="B86" s="41"/>
      <c r="C86" s="86"/>
      <c r="D86" s="60"/>
      <c r="E86" s="41"/>
      <c r="F86" s="76">
        <f t="shared" si="2"/>
        <v>0</v>
      </c>
    </row>
    <row r="87" spans="1:6" x14ac:dyDescent="0.25">
      <c r="A87" s="71">
        <v>84</v>
      </c>
      <c r="B87" s="41" t="s">
        <v>330</v>
      </c>
      <c r="C87" s="86">
        <v>5.16</v>
      </c>
      <c r="D87" s="60"/>
      <c r="E87" s="41"/>
      <c r="F87" s="76">
        <f t="shared" si="2"/>
        <v>0</v>
      </c>
    </row>
    <row r="88" spans="1:6" x14ac:dyDescent="0.25">
      <c r="A88" s="71">
        <v>85</v>
      </c>
      <c r="B88" s="41" t="s">
        <v>331</v>
      </c>
      <c r="C88" s="86">
        <v>15.73</v>
      </c>
      <c r="D88" s="60"/>
      <c r="E88" s="41"/>
      <c r="F88" s="76">
        <f t="shared" si="2"/>
        <v>0</v>
      </c>
    </row>
    <row r="89" spans="1:6" x14ac:dyDescent="0.25">
      <c r="A89" s="71">
        <v>86</v>
      </c>
      <c r="B89" s="41" t="s">
        <v>332</v>
      </c>
      <c r="C89" s="86">
        <v>3.15</v>
      </c>
      <c r="D89" s="60"/>
      <c r="E89" s="41"/>
      <c r="F89" s="76">
        <f t="shared" si="2"/>
        <v>0</v>
      </c>
    </row>
    <row r="90" spans="1:6" x14ac:dyDescent="0.25">
      <c r="A90" s="71">
        <v>87</v>
      </c>
      <c r="B90" s="41" t="s">
        <v>333</v>
      </c>
      <c r="C90" s="86">
        <v>5.95</v>
      </c>
      <c r="D90" s="60"/>
      <c r="E90" s="41"/>
      <c r="F90" s="76">
        <f t="shared" si="2"/>
        <v>0</v>
      </c>
    </row>
    <row r="91" spans="1:6" x14ac:dyDescent="0.25">
      <c r="A91" s="71">
        <v>88</v>
      </c>
      <c r="B91" s="41" t="s">
        <v>334</v>
      </c>
      <c r="C91" s="86">
        <v>6.1</v>
      </c>
      <c r="D91" s="60"/>
      <c r="E91" s="41"/>
      <c r="F91" s="76">
        <f t="shared" si="2"/>
        <v>0</v>
      </c>
    </row>
    <row r="92" spans="1:6" x14ac:dyDescent="0.25">
      <c r="A92" s="71">
        <v>89</v>
      </c>
      <c r="B92" s="41" t="s">
        <v>306</v>
      </c>
      <c r="C92" s="86">
        <v>6.1</v>
      </c>
      <c r="D92" s="60"/>
      <c r="E92" s="41"/>
      <c r="F92" s="76">
        <f t="shared" si="2"/>
        <v>0</v>
      </c>
    </row>
    <row r="93" spans="1:6" x14ac:dyDescent="0.25">
      <c r="A93" s="71">
        <v>90</v>
      </c>
      <c r="B93" s="41" t="s">
        <v>335</v>
      </c>
      <c r="C93" s="86">
        <v>3.9</v>
      </c>
      <c r="D93" s="60"/>
      <c r="E93" s="41"/>
      <c r="F93" s="76">
        <f t="shared" si="2"/>
        <v>0</v>
      </c>
    </row>
    <row r="94" spans="1:6" x14ac:dyDescent="0.25">
      <c r="A94" s="71">
        <v>91</v>
      </c>
      <c r="B94" s="41" t="s">
        <v>307</v>
      </c>
      <c r="C94" s="86">
        <v>14.63</v>
      </c>
      <c r="D94" s="60"/>
      <c r="E94" s="41"/>
      <c r="F94" s="76">
        <f t="shared" si="2"/>
        <v>0</v>
      </c>
    </row>
    <row r="95" spans="1:6" x14ac:dyDescent="0.25">
      <c r="A95" s="71">
        <v>92</v>
      </c>
      <c r="B95" s="41" t="s">
        <v>308</v>
      </c>
      <c r="C95" s="86">
        <v>14.26</v>
      </c>
      <c r="D95" s="60"/>
      <c r="E95" s="41"/>
      <c r="F95" s="76">
        <f t="shared" si="2"/>
        <v>0</v>
      </c>
    </row>
    <row r="96" spans="1:6" x14ac:dyDescent="0.25">
      <c r="A96" s="71">
        <v>93</v>
      </c>
      <c r="B96" s="41" t="s">
        <v>336</v>
      </c>
      <c r="C96" s="86">
        <v>66</v>
      </c>
      <c r="D96" s="60"/>
      <c r="E96" s="41"/>
      <c r="F96" s="76">
        <f t="shared" si="2"/>
        <v>0</v>
      </c>
    </row>
    <row r="97" spans="1:6" x14ac:dyDescent="0.25">
      <c r="A97" s="71">
        <v>94</v>
      </c>
      <c r="B97" s="41"/>
      <c r="C97" s="86"/>
      <c r="D97" s="60"/>
      <c r="E97" s="41"/>
      <c r="F97" s="76">
        <f t="shared" si="2"/>
        <v>0</v>
      </c>
    </row>
    <row r="98" spans="1:6" x14ac:dyDescent="0.25">
      <c r="A98" s="71">
        <v>95</v>
      </c>
      <c r="B98" s="41" t="s">
        <v>337</v>
      </c>
      <c r="C98" s="86">
        <v>17</v>
      </c>
      <c r="D98" s="60"/>
      <c r="E98" s="41"/>
      <c r="F98" s="76">
        <f t="shared" si="2"/>
        <v>0</v>
      </c>
    </row>
    <row r="99" spans="1:6" x14ac:dyDescent="0.25">
      <c r="A99" s="71">
        <v>96</v>
      </c>
      <c r="B99" s="41" t="s">
        <v>338</v>
      </c>
      <c r="C99" s="86">
        <v>13.42</v>
      </c>
      <c r="D99" s="60"/>
      <c r="E99" s="41"/>
      <c r="F99" s="76">
        <f t="shared" si="2"/>
        <v>0</v>
      </c>
    </row>
    <row r="100" spans="1:6" x14ac:dyDescent="0.25">
      <c r="A100" s="71">
        <v>97</v>
      </c>
      <c r="B100" s="41" t="s">
        <v>339</v>
      </c>
      <c r="C100" s="86">
        <v>31.94</v>
      </c>
      <c r="D100" s="60"/>
      <c r="E100" s="41"/>
      <c r="F100" s="76">
        <f t="shared" si="2"/>
        <v>0</v>
      </c>
    </row>
    <row r="101" spans="1:6" x14ac:dyDescent="0.25">
      <c r="A101" s="71">
        <v>98</v>
      </c>
      <c r="B101" s="41" t="s">
        <v>340</v>
      </c>
      <c r="C101" s="86">
        <v>12.48</v>
      </c>
      <c r="D101" s="60"/>
      <c r="E101" s="41"/>
      <c r="F101" s="76">
        <f t="shared" si="2"/>
        <v>0</v>
      </c>
    </row>
    <row r="102" spans="1:6" x14ac:dyDescent="0.25">
      <c r="A102" s="71">
        <v>99</v>
      </c>
      <c r="B102" s="41" t="s">
        <v>341</v>
      </c>
      <c r="C102" s="86">
        <v>6.24</v>
      </c>
      <c r="D102" s="60"/>
      <c r="E102" s="41"/>
      <c r="F102" s="76">
        <f t="shared" si="2"/>
        <v>0</v>
      </c>
    </row>
    <row r="103" spans="1:6" x14ac:dyDescent="0.25">
      <c r="A103" s="71">
        <v>100</v>
      </c>
      <c r="B103" s="41" t="s">
        <v>342</v>
      </c>
      <c r="C103" s="86">
        <v>19</v>
      </c>
      <c r="D103" s="60"/>
      <c r="E103" s="41"/>
      <c r="F103" s="76">
        <f t="shared" si="2"/>
        <v>0</v>
      </c>
    </row>
    <row r="104" spans="1:6" x14ac:dyDescent="0.25">
      <c r="A104" s="71">
        <v>101</v>
      </c>
      <c r="B104" s="41" t="s">
        <v>343</v>
      </c>
      <c r="C104" s="86">
        <v>100.16</v>
      </c>
      <c r="D104" s="60"/>
      <c r="E104" s="41"/>
      <c r="F104" s="76">
        <f t="shared" si="2"/>
        <v>0</v>
      </c>
    </row>
    <row r="105" spans="1:6" x14ac:dyDescent="0.25">
      <c r="A105" s="71">
        <v>102</v>
      </c>
      <c r="B105" s="41" t="s">
        <v>344</v>
      </c>
      <c r="C105" s="86">
        <v>26.97</v>
      </c>
      <c r="D105" s="60"/>
      <c r="E105" s="41"/>
      <c r="F105" s="76">
        <f t="shared" si="2"/>
        <v>0</v>
      </c>
    </row>
    <row r="106" spans="1:6" x14ac:dyDescent="0.25">
      <c r="A106" s="71">
        <v>103</v>
      </c>
      <c r="B106" s="41"/>
      <c r="C106" s="86"/>
      <c r="D106" s="60"/>
      <c r="E106" s="41"/>
      <c r="F106" s="76">
        <f t="shared" si="2"/>
        <v>0</v>
      </c>
    </row>
    <row r="107" spans="1:6" x14ac:dyDescent="0.25">
      <c r="A107" s="71">
        <v>104</v>
      </c>
      <c r="B107" s="41" t="s">
        <v>345</v>
      </c>
      <c r="C107" s="86">
        <v>3.23</v>
      </c>
      <c r="D107" s="60"/>
      <c r="E107" s="41"/>
      <c r="F107" s="76">
        <f t="shared" si="2"/>
        <v>0</v>
      </c>
    </row>
    <row r="108" spans="1:6" x14ac:dyDescent="0.25">
      <c r="A108" s="71">
        <v>105</v>
      </c>
      <c r="B108" s="41" t="s">
        <v>346</v>
      </c>
      <c r="C108" s="86">
        <v>154.6</v>
      </c>
      <c r="D108" s="60"/>
      <c r="E108" s="41"/>
      <c r="F108" s="76">
        <f t="shared" si="2"/>
        <v>0</v>
      </c>
    </row>
    <row r="109" spans="1:6" x14ac:dyDescent="0.25">
      <c r="A109" s="71">
        <v>106</v>
      </c>
      <c r="B109" s="41" t="s">
        <v>347</v>
      </c>
      <c r="C109" s="86">
        <v>11</v>
      </c>
      <c r="D109" s="60"/>
      <c r="E109" s="41"/>
      <c r="F109" s="76">
        <f t="shared" si="2"/>
        <v>0</v>
      </c>
    </row>
    <row r="110" spans="1:6" x14ac:dyDescent="0.25">
      <c r="A110" s="71">
        <v>107</v>
      </c>
      <c r="B110" s="41" t="s">
        <v>348</v>
      </c>
      <c r="C110" s="86">
        <v>5.15</v>
      </c>
      <c r="D110" s="60"/>
      <c r="E110" s="41"/>
      <c r="F110" s="76">
        <f t="shared" si="2"/>
        <v>0</v>
      </c>
    </row>
    <row r="111" spans="1:6" x14ac:dyDescent="0.25">
      <c r="A111" s="71">
        <v>108</v>
      </c>
      <c r="B111" s="41" t="s">
        <v>349</v>
      </c>
      <c r="C111" s="86">
        <v>11.25</v>
      </c>
      <c r="D111" s="60"/>
      <c r="E111" s="41"/>
      <c r="F111" s="76">
        <f t="shared" si="2"/>
        <v>0</v>
      </c>
    </row>
    <row r="112" spans="1:6" x14ac:dyDescent="0.25">
      <c r="A112" s="71">
        <v>109</v>
      </c>
      <c r="B112" s="41" t="s">
        <v>350</v>
      </c>
      <c r="C112" s="86">
        <v>13.8</v>
      </c>
      <c r="D112" s="60"/>
      <c r="E112" s="41"/>
      <c r="F112" s="76">
        <f t="shared" si="2"/>
        <v>0</v>
      </c>
    </row>
    <row r="113" spans="1:6" x14ac:dyDescent="0.25">
      <c r="A113" s="71">
        <v>110</v>
      </c>
      <c r="B113" s="41" t="s">
        <v>351</v>
      </c>
      <c r="C113" s="86">
        <v>91.15</v>
      </c>
      <c r="D113" s="60"/>
      <c r="E113" s="41"/>
      <c r="F113" s="76">
        <f t="shared" si="2"/>
        <v>0</v>
      </c>
    </row>
    <row r="114" spans="1:6" x14ac:dyDescent="0.25">
      <c r="A114" s="71">
        <v>111</v>
      </c>
      <c r="B114" s="41" t="s">
        <v>352</v>
      </c>
      <c r="C114" s="86">
        <v>115</v>
      </c>
      <c r="D114" s="60"/>
      <c r="E114" s="41"/>
      <c r="F114" s="76">
        <f t="shared" si="2"/>
        <v>0</v>
      </c>
    </row>
    <row r="115" spans="1:6" x14ac:dyDescent="0.25">
      <c r="A115" s="71">
        <v>112</v>
      </c>
      <c r="B115" s="41" t="s">
        <v>353</v>
      </c>
      <c r="C115" s="86">
        <v>8.64</v>
      </c>
      <c r="D115" s="60"/>
      <c r="E115" s="41"/>
      <c r="F115" s="76">
        <f t="shared" si="2"/>
        <v>0</v>
      </c>
    </row>
    <row r="116" spans="1:6" x14ac:dyDescent="0.25">
      <c r="A116" s="71">
        <v>113</v>
      </c>
      <c r="B116" s="41"/>
      <c r="C116" s="86"/>
      <c r="D116" s="60"/>
      <c r="E116" s="41"/>
      <c r="F116" s="76">
        <f t="shared" si="2"/>
        <v>0</v>
      </c>
    </row>
    <row r="117" spans="1:6" x14ac:dyDescent="0.25">
      <c r="A117" s="71">
        <v>114</v>
      </c>
      <c r="B117" s="41"/>
      <c r="C117" s="86"/>
      <c r="D117" s="60"/>
      <c r="E117" s="41"/>
      <c r="F117" s="76">
        <f t="shared" si="2"/>
        <v>0</v>
      </c>
    </row>
    <row r="118" spans="1:6" x14ac:dyDescent="0.25">
      <c r="A118" s="71">
        <v>115</v>
      </c>
      <c r="B118" s="41"/>
      <c r="C118" s="86"/>
      <c r="D118" s="60"/>
      <c r="E118" s="41"/>
      <c r="F118" s="76">
        <f t="shared" si="2"/>
        <v>0</v>
      </c>
    </row>
    <row r="119" spans="1:6" x14ac:dyDescent="0.25">
      <c r="A119" s="71">
        <v>116</v>
      </c>
      <c r="B119" s="41" t="s">
        <v>354</v>
      </c>
      <c r="C119" s="86">
        <v>4.25</v>
      </c>
      <c r="D119" s="60"/>
      <c r="E119" s="41"/>
      <c r="F119" s="76">
        <f t="shared" si="2"/>
        <v>0</v>
      </c>
    </row>
    <row r="120" spans="1:6" x14ac:dyDescent="0.25">
      <c r="A120" s="71">
        <v>117</v>
      </c>
      <c r="B120" s="41" t="s">
        <v>355</v>
      </c>
      <c r="C120" s="86">
        <v>5.75</v>
      </c>
      <c r="D120" s="60"/>
      <c r="E120" s="41"/>
      <c r="F120" s="76">
        <f t="shared" si="2"/>
        <v>0</v>
      </c>
    </row>
    <row r="121" spans="1:6" x14ac:dyDescent="0.25">
      <c r="A121" s="71">
        <v>118</v>
      </c>
      <c r="B121" s="41" t="s">
        <v>356</v>
      </c>
      <c r="C121" s="86">
        <v>13.63</v>
      </c>
      <c r="D121" s="60"/>
      <c r="E121" s="41"/>
      <c r="F121" s="76">
        <f t="shared" si="2"/>
        <v>0</v>
      </c>
    </row>
    <row r="122" spans="1:6" x14ac:dyDescent="0.25">
      <c r="A122" s="71">
        <v>119</v>
      </c>
      <c r="B122" s="41" t="s">
        <v>357</v>
      </c>
      <c r="C122" s="86">
        <v>5.42</v>
      </c>
      <c r="D122" s="60"/>
      <c r="E122" s="41"/>
      <c r="F122" s="76">
        <f t="shared" si="2"/>
        <v>0</v>
      </c>
    </row>
    <row r="123" spans="1:6" x14ac:dyDescent="0.25">
      <c r="A123" s="71">
        <v>120</v>
      </c>
      <c r="B123" s="41" t="s">
        <v>358</v>
      </c>
      <c r="C123" s="86">
        <v>12.02</v>
      </c>
      <c r="D123" s="60"/>
      <c r="E123" s="41"/>
      <c r="F123" s="76">
        <f t="shared" si="2"/>
        <v>0</v>
      </c>
    </row>
    <row r="124" spans="1:6" x14ac:dyDescent="0.25">
      <c r="A124" s="71">
        <v>121</v>
      </c>
      <c r="B124" s="41" t="s">
        <v>359</v>
      </c>
      <c r="C124" s="86">
        <v>2.81</v>
      </c>
      <c r="D124" s="60"/>
      <c r="E124" s="41"/>
      <c r="F124" s="76">
        <f t="shared" si="2"/>
        <v>0</v>
      </c>
    </row>
    <row r="125" spans="1:6" x14ac:dyDescent="0.25">
      <c r="A125" s="71">
        <v>122</v>
      </c>
      <c r="B125" s="41" t="s">
        <v>360</v>
      </c>
      <c r="C125" s="86">
        <v>3.34</v>
      </c>
      <c r="D125" s="60"/>
      <c r="E125" s="41"/>
      <c r="F125" s="76">
        <f t="shared" si="2"/>
        <v>0</v>
      </c>
    </row>
    <row r="126" spans="1:6" x14ac:dyDescent="0.25">
      <c r="A126" s="71">
        <v>123</v>
      </c>
      <c r="B126" s="41" t="s">
        <v>361</v>
      </c>
      <c r="C126" s="86">
        <v>8.2899999999999991</v>
      </c>
      <c r="D126" s="60"/>
      <c r="E126" s="41"/>
      <c r="F126" s="76">
        <f t="shared" si="2"/>
        <v>0</v>
      </c>
    </row>
    <row r="127" spans="1:6" x14ac:dyDescent="0.25">
      <c r="A127" s="71">
        <v>124</v>
      </c>
      <c r="B127" s="41" t="s">
        <v>362</v>
      </c>
      <c r="C127" s="86">
        <v>2.34</v>
      </c>
      <c r="D127" s="60"/>
      <c r="E127" s="41"/>
      <c r="F127" s="76">
        <f t="shared" si="2"/>
        <v>0</v>
      </c>
    </row>
    <row r="128" spans="1:6" x14ac:dyDescent="0.25">
      <c r="A128" s="71">
        <v>125</v>
      </c>
      <c r="B128" s="41" t="s">
        <v>363</v>
      </c>
      <c r="C128" s="86">
        <v>12</v>
      </c>
      <c r="D128" s="60"/>
      <c r="E128" s="41"/>
      <c r="F128" s="76">
        <f t="shared" si="2"/>
        <v>0</v>
      </c>
    </row>
    <row r="129" spans="1:6" x14ac:dyDescent="0.25">
      <c r="A129" s="71">
        <v>126</v>
      </c>
      <c r="B129" s="41"/>
      <c r="C129" s="86"/>
      <c r="D129" s="60"/>
      <c r="E129" s="41"/>
      <c r="F129" s="76">
        <f t="shared" si="2"/>
        <v>0</v>
      </c>
    </row>
    <row r="130" spans="1:6" x14ac:dyDescent="0.25">
      <c r="A130" s="71">
        <v>127</v>
      </c>
      <c r="B130" s="41"/>
      <c r="C130" s="86"/>
      <c r="D130" s="60"/>
      <c r="E130" s="41"/>
      <c r="F130" s="76">
        <f t="shared" si="2"/>
        <v>0</v>
      </c>
    </row>
    <row r="131" spans="1:6" x14ac:dyDescent="0.25">
      <c r="A131" s="71">
        <v>128</v>
      </c>
      <c r="B131" s="41" t="s">
        <v>364</v>
      </c>
      <c r="C131" s="86">
        <v>12.77</v>
      </c>
      <c r="D131" s="60"/>
      <c r="E131" s="41"/>
      <c r="F131" s="76">
        <f t="shared" si="2"/>
        <v>0</v>
      </c>
    </row>
    <row r="132" spans="1:6" x14ac:dyDescent="0.25">
      <c r="A132" s="71">
        <v>129</v>
      </c>
      <c r="B132" s="41" t="s">
        <v>365</v>
      </c>
      <c r="C132" s="86">
        <v>14</v>
      </c>
      <c r="D132" s="60"/>
      <c r="E132" s="41"/>
      <c r="F132" s="76">
        <f t="shared" si="2"/>
        <v>0</v>
      </c>
    </row>
    <row r="133" spans="1:6" x14ac:dyDescent="0.25">
      <c r="A133" s="71">
        <v>130</v>
      </c>
      <c r="B133" s="41" t="s">
        <v>366</v>
      </c>
      <c r="C133" s="86">
        <v>15.68</v>
      </c>
      <c r="D133" s="60"/>
      <c r="E133" s="41"/>
      <c r="F133" s="76">
        <f t="shared" ref="F133:F152" si="3">C133*E133</f>
        <v>0</v>
      </c>
    </row>
    <row r="134" spans="1:6" x14ac:dyDescent="0.25">
      <c r="A134" s="71">
        <v>131</v>
      </c>
      <c r="B134" s="41" t="s">
        <v>367</v>
      </c>
      <c r="C134" s="86">
        <v>16.91</v>
      </c>
      <c r="D134" s="60"/>
      <c r="E134" s="41"/>
      <c r="F134" s="76">
        <f t="shared" si="3"/>
        <v>0</v>
      </c>
    </row>
    <row r="135" spans="1:6" x14ac:dyDescent="0.25">
      <c r="A135" s="71">
        <v>132</v>
      </c>
      <c r="B135" s="41" t="s">
        <v>368</v>
      </c>
      <c r="C135" s="86">
        <v>11.1</v>
      </c>
      <c r="D135" s="60"/>
      <c r="E135" s="41"/>
      <c r="F135" s="76">
        <f t="shared" si="3"/>
        <v>0</v>
      </c>
    </row>
    <row r="136" spans="1:6" x14ac:dyDescent="0.25">
      <c r="A136" s="71">
        <v>133</v>
      </c>
      <c r="B136" s="41" t="s">
        <v>369</v>
      </c>
      <c r="C136" s="86">
        <v>10.49</v>
      </c>
      <c r="D136" s="60"/>
      <c r="E136" s="41"/>
      <c r="F136" s="76">
        <f t="shared" si="3"/>
        <v>0</v>
      </c>
    </row>
    <row r="137" spans="1:6" x14ac:dyDescent="0.25">
      <c r="A137" s="71">
        <v>134</v>
      </c>
      <c r="B137" s="41" t="s">
        <v>370</v>
      </c>
      <c r="C137" s="86">
        <v>13.2</v>
      </c>
      <c r="D137" s="60"/>
      <c r="E137" s="41"/>
      <c r="F137" s="76">
        <f t="shared" si="3"/>
        <v>0</v>
      </c>
    </row>
    <row r="138" spans="1:6" x14ac:dyDescent="0.25">
      <c r="A138" s="71">
        <v>135</v>
      </c>
      <c r="B138" s="41" t="s">
        <v>371</v>
      </c>
      <c r="C138" s="86">
        <v>19.600000000000001</v>
      </c>
      <c r="D138" s="60"/>
      <c r="E138" s="41"/>
      <c r="F138" s="76">
        <f t="shared" si="3"/>
        <v>0</v>
      </c>
    </row>
    <row r="139" spans="1:6" x14ac:dyDescent="0.25">
      <c r="A139" s="71">
        <v>136</v>
      </c>
      <c r="B139" s="41" t="s">
        <v>372</v>
      </c>
      <c r="C139" s="86">
        <v>7.5</v>
      </c>
      <c r="D139" s="60"/>
      <c r="E139" s="41"/>
      <c r="F139" s="76">
        <f t="shared" si="3"/>
        <v>0</v>
      </c>
    </row>
    <row r="140" spans="1:6" x14ac:dyDescent="0.25">
      <c r="A140" s="71">
        <v>137</v>
      </c>
      <c r="B140" s="41" t="s">
        <v>53</v>
      </c>
      <c r="C140" s="86">
        <v>20.69</v>
      </c>
      <c r="D140" s="60"/>
      <c r="E140" s="41"/>
      <c r="F140" s="76">
        <f t="shared" si="3"/>
        <v>0</v>
      </c>
    </row>
    <row r="141" spans="1:6" x14ac:dyDescent="0.25">
      <c r="A141" s="71">
        <v>138</v>
      </c>
      <c r="B141" s="41" t="s">
        <v>54</v>
      </c>
      <c r="C141" s="86">
        <v>23.81</v>
      </c>
      <c r="D141" s="60"/>
      <c r="E141" s="41"/>
      <c r="F141" s="76">
        <f t="shared" si="3"/>
        <v>0</v>
      </c>
    </row>
    <row r="142" spans="1:6" x14ac:dyDescent="0.25">
      <c r="A142" s="71">
        <v>139</v>
      </c>
      <c r="B142" s="41" t="s">
        <v>373</v>
      </c>
      <c r="C142" s="86">
        <v>39</v>
      </c>
      <c r="D142" s="60"/>
      <c r="E142" s="41"/>
      <c r="F142" s="76">
        <f t="shared" si="3"/>
        <v>0</v>
      </c>
    </row>
    <row r="143" spans="1:6" x14ac:dyDescent="0.25">
      <c r="A143" s="71">
        <v>140</v>
      </c>
      <c r="B143" s="41" t="s">
        <v>374</v>
      </c>
      <c r="C143" s="86">
        <v>39</v>
      </c>
      <c r="D143" s="60"/>
      <c r="E143" s="41"/>
      <c r="F143" s="76">
        <f t="shared" si="3"/>
        <v>0</v>
      </c>
    </row>
    <row r="144" spans="1:6" x14ac:dyDescent="0.25">
      <c r="A144" s="71">
        <v>141</v>
      </c>
      <c r="B144" s="41" t="s">
        <v>375</v>
      </c>
      <c r="C144" s="86">
        <v>13.94</v>
      </c>
      <c r="D144" s="60"/>
      <c r="E144" s="41"/>
      <c r="F144" s="76">
        <f t="shared" si="3"/>
        <v>0</v>
      </c>
    </row>
    <row r="145" spans="1:6" x14ac:dyDescent="0.25">
      <c r="A145" s="71">
        <v>142</v>
      </c>
      <c r="B145" s="41" t="s">
        <v>376</v>
      </c>
      <c r="C145" s="86">
        <v>17.41</v>
      </c>
      <c r="D145" s="60"/>
      <c r="E145" s="41"/>
      <c r="F145" s="76">
        <f t="shared" si="3"/>
        <v>0</v>
      </c>
    </row>
    <row r="146" spans="1:6" x14ac:dyDescent="0.25">
      <c r="A146" s="71">
        <v>143</v>
      </c>
      <c r="B146" s="41" t="s">
        <v>377</v>
      </c>
      <c r="C146" s="86">
        <v>16.690000000000001</v>
      </c>
      <c r="D146" s="60"/>
      <c r="E146" s="41"/>
      <c r="F146" s="76">
        <f t="shared" si="3"/>
        <v>0</v>
      </c>
    </row>
    <row r="147" spans="1:6" x14ac:dyDescent="0.25">
      <c r="A147" s="71">
        <v>144</v>
      </c>
      <c r="B147" s="41" t="s">
        <v>378</v>
      </c>
      <c r="C147" s="86">
        <v>22.77</v>
      </c>
      <c r="D147" s="60"/>
      <c r="E147" s="41"/>
      <c r="F147" s="76">
        <f t="shared" si="3"/>
        <v>0</v>
      </c>
    </row>
    <row r="148" spans="1:6" x14ac:dyDescent="0.25">
      <c r="A148" s="71">
        <v>145</v>
      </c>
      <c r="B148" s="41" t="s">
        <v>379</v>
      </c>
      <c r="C148" s="86">
        <v>24.76</v>
      </c>
      <c r="D148" s="60"/>
      <c r="E148" s="41"/>
      <c r="F148" s="76">
        <f t="shared" si="3"/>
        <v>0</v>
      </c>
    </row>
    <row r="149" spans="1:6" x14ac:dyDescent="0.25">
      <c r="A149" s="71">
        <v>146</v>
      </c>
      <c r="B149" s="41" t="s">
        <v>380</v>
      </c>
      <c r="C149" s="86">
        <v>9.3699999999999992</v>
      </c>
      <c r="D149" s="60"/>
      <c r="E149" s="41"/>
      <c r="F149" s="76">
        <f t="shared" si="3"/>
        <v>0</v>
      </c>
    </row>
    <row r="150" spans="1:6" x14ac:dyDescent="0.25">
      <c r="A150" s="71">
        <v>147</v>
      </c>
      <c r="B150" s="41" t="s">
        <v>381</v>
      </c>
      <c r="C150" s="86">
        <v>13.57</v>
      </c>
      <c r="D150" s="60"/>
      <c r="E150" s="41"/>
      <c r="F150" s="76">
        <f t="shared" si="3"/>
        <v>0</v>
      </c>
    </row>
    <row r="151" spans="1:6" x14ac:dyDescent="0.25">
      <c r="A151" s="71">
        <v>148</v>
      </c>
      <c r="B151" s="41" t="s">
        <v>382</v>
      </c>
      <c r="C151" s="86">
        <v>5.37</v>
      </c>
      <c r="D151" s="60"/>
      <c r="E151" s="41"/>
      <c r="F151" s="76">
        <f t="shared" si="3"/>
        <v>0</v>
      </c>
    </row>
    <row r="152" spans="1:6" x14ac:dyDescent="0.25">
      <c r="A152" s="71">
        <v>149</v>
      </c>
      <c r="B152" s="41" t="s">
        <v>383</v>
      </c>
      <c r="C152" s="86">
        <v>20.61</v>
      </c>
      <c r="D152" s="60"/>
      <c r="E152" s="41"/>
      <c r="F152" s="76">
        <f t="shared" si="3"/>
        <v>0</v>
      </c>
    </row>
    <row r="153" spans="1:6" x14ac:dyDescent="0.25">
      <c r="A153" s="71">
        <v>150</v>
      </c>
      <c r="B153" s="41" t="s">
        <v>384</v>
      </c>
      <c r="C153" s="86">
        <v>23.31</v>
      </c>
      <c r="D153" s="60"/>
      <c r="E153" s="41"/>
      <c r="F153" s="76">
        <f t="shared" ref="F153:F172" si="4">C153*E153</f>
        <v>0</v>
      </c>
    </row>
    <row r="154" spans="1:6" x14ac:dyDescent="0.25">
      <c r="A154" s="71">
        <v>151</v>
      </c>
      <c r="B154" s="41" t="s">
        <v>385</v>
      </c>
      <c r="C154" s="86">
        <v>13.02</v>
      </c>
      <c r="D154" s="60"/>
      <c r="E154" s="41"/>
      <c r="F154" s="76">
        <f t="shared" si="4"/>
        <v>0</v>
      </c>
    </row>
    <row r="155" spans="1:6" x14ac:dyDescent="0.25">
      <c r="A155" s="71">
        <v>152</v>
      </c>
      <c r="B155" s="41" t="s">
        <v>386</v>
      </c>
      <c r="C155" s="86">
        <v>18.579999999999998</v>
      </c>
      <c r="D155" s="60"/>
      <c r="E155" s="41"/>
      <c r="F155" s="76">
        <f t="shared" si="4"/>
        <v>0</v>
      </c>
    </row>
    <row r="156" spans="1:6" x14ac:dyDescent="0.25">
      <c r="A156" s="71">
        <v>153</v>
      </c>
      <c r="B156" s="41" t="s">
        <v>387</v>
      </c>
      <c r="C156" s="86">
        <v>23.6</v>
      </c>
      <c r="D156" s="60"/>
      <c r="E156" s="41"/>
      <c r="F156" s="76">
        <f t="shared" si="4"/>
        <v>0</v>
      </c>
    </row>
    <row r="157" spans="1:6" x14ac:dyDescent="0.25">
      <c r="A157" s="71">
        <v>154</v>
      </c>
      <c r="B157" s="41" t="s">
        <v>384</v>
      </c>
      <c r="C157" s="86">
        <v>23.31</v>
      </c>
      <c r="D157" s="60"/>
      <c r="E157" s="41"/>
      <c r="F157" s="76">
        <f t="shared" si="4"/>
        <v>0</v>
      </c>
    </row>
    <row r="158" spans="1:6" x14ac:dyDescent="0.25">
      <c r="A158" s="71">
        <v>155</v>
      </c>
      <c r="B158" s="41" t="s">
        <v>388</v>
      </c>
      <c r="C158" s="86">
        <v>14.45</v>
      </c>
      <c r="D158" s="60"/>
      <c r="E158" s="41"/>
      <c r="F158" s="76">
        <f t="shared" si="4"/>
        <v>0</v>
      </c>
    </row>
    <row r="159" spans="1:6" x14ac:dyDescent="0.25">
      <c r="A159" s="71">
        <v>156</v>
      </c>
      <c r="B159" s="41" t="s">
        <v>389</v>
      </c>
      <c r="C159" s="86">
        <v>32</v>
      </c>
      <c r="D159" s="60"/>
      <c r="E159" s="41"/>
      <c r="F159" s="76">
        <f t="shared" si="4"/>
        <v>0</v>
      </c>
    </row>
    <row r="160" spans="1:6" x14ac:dyDescent="0.25">
      <c r="A160" s="71">
        <v>157</v>
      </c>
      <c r="B160" s="41" t="s">
        <v>390</v>
      </c>
      <c r="C160" s="86">
        <v>22.73</v>
      </c>
      <c r="D160" s="60"/>
      <c r="E160" s="41"/>
      <c r="F160" s="76">
        <f t="shared" si="4"/>
        <v>0</v>
      </c>
    </row>
    <row r="161" spans="1:6" x14ac:dyDescent="0.25">
      <c r="A161" s="71">
        <v>158</v>
      </c>
      <c r="B161" s="41" t="s">
        <v>391</v>
      </c>
      <c r="C161" s="86">
        <v>115.32</v>
      </c>
      <c r="D161" s="60"/>
      <c r="E161" s="41"/>
      <c r="F161" s="76">
        <f t="shared" si="4"/>
        <v>0</v>
      </c>
    </row>
    <row r="162" spans="1:6" x14ac:dyDescent="0.25">
      <c r="A162" s="71">
        <v>159</v>
      </c>
      <c r="B162" s="41" t="s">
        <v>392</v>
      </c>
      <c r="C162" s="86">
        <v>83.63</v>
      </c>
      <c r="D162" s="60"/>
      <c r="E162" s="41"/>
      <c r="F162" s="76">
        <f t="shared" si="4"/>
        <v>0</v>
      </c>
    </row>
    <row r="163" spans="1:6" x14ac:dyDescent="0.25">
      <c r="A163" s="71">
        <v>160</v>
      </c>
      <c r="B163" s="41" t="s">
        <v>393</v>
      </c>
      <c r="C163" s="86">
        <v>49.7</v>
      </c>
      <c r="D163" s="60"/>
      <c r="E163" s="41"/>
      <c r="F163" s="76">
        <f t="shared" si="4"/>
        <v>0</v>
      </c>
    </row>
    <row r="164" spans="1:6" x14ac:dyDescent="0.25">
      <c r="A164" s="71">
        <v>161</v>
      </c>
      <c r="B164" s="41" t="s">
        <v>394</v>
      </c>
      <c r="C164" s="86">
        <v>6.68</v>
      </c>
      <c r="D164" s="60"/>
      <c r="E164" s="41"/>
      <c r="F164" s="76">
        <f t="shared" si="4"/>
        <v>0</v>
      </c>
    </row>
    <row r="165" spans="1:6" x14ac:dyDescent="0.25">
      <c r="A165" s="71">
        <v>162</v>
      </c>
      <c r="B165" s="41" t="s">
        <v>395</v>
      </c>
      <c r="C165" s="86">
        <v>7.84</v>
      </c>
      <c r="D165" s="60"/>
      <c r="E165" s="41"/>
      <c r="F165" s="76">
        <f t="shared" si="4"/>
        <v>0</v>
      </c>
    </row>
    <row r="166" spans="1:6" x14ac:dyDescent="0.25">
      <c r="A166" s="71">
        <v>163</v>
      </c>
      <c r="B166" s="41" t="s">
        <v>396</v>
      </c>
      <c r="C166" s="86">
        <v>9.2200000000000006</v>
      </c>
      <c r="D166" s="60"/>
      <c r="E166" s="41"/>
      <c r="F166" s="76">
        <f t="shared" si="4"/>
        <v>0</v>
      </c>
    </row>
    <row r="167" spans="1:6" x14ac:dyDescent="0.25">
      <c r="A167" s="71">
        <v>164</v>
      </c>
      <c r="B167" s="41" t="s">
        <v>397</v>
      </c>
      <c r="C167" s="86">
        <v>35.71</v>
      </c>
      <c r="D167" s="60"/>
      <c r="E167" s="41"/>
      <c r="F167" s="76">
        <f t="shared" si="4"/>
        <v>0</v>
      </c>
    </row>
    <row r="168" spans="1:6" x14ac:dyDescent="0.25">
      <c r="A168" s="71">
        <v>165</v>
      </c>
      <c r="B168" s="41" t="s">
        <v>398</v>
      </c>
      <c r="C168" s="86">
        <v>78.39</v>
      </c>
      <c r="D168" s="60"/>
      <c r="E168" s="41"/>
      <c r="F168" s="76">
        <f t="shared" si="4"/>
        <v>0</v>
      </c>
    </row>
    <row r="169" spans="1:6" x14ac:dyDescent="0.25">
      <c r="A169" s="71">
        <v>166</v>
      </c>
      <c r="B169" s="41" t="s">
        <v>399</v>
      </c>
      <c r="C169" s="86">
        <v>51.53</v>
      </c>
      <c r="D169" s="60"/>
      <c r="E169" s="41"/>
      <c r="F169" s="76">
        <f t="shared" si="4"/>
        <v>0</v>
      </c>
    </row>
    <row r="170" spans="1:6" x14ac:dyDescent="0.25">
      <c r="A170" s="71">
        <v>167</v>
      </c>
      <c r="B170" s="41" t="s">
        <v>400</v>
      </c>
      <c r="C170" s="86">
        <v>213.1</v>
      </c>
      <c r="D170" s="60"/>
      <c r="E170" s="41"/>
      <c r="F170" s="76">
        <f t="shared" si="4"/>
        <v>0</v>
      </c>
    </row>
    <row r="171" spans="1:6" x14ac:dyDescent="0.25">
      <c r="A171" s="71">
        <v>168</v>
      </c>
      <c r="B171" s="41" t="s">
        <v>401</v>
      </c>
      <c r="C171" s="86">
        <v>109.6</v>
      </c>
      <c r="D171" s="60"/>
      <c r="E171" s="41"/>
      <c r="F171" s="76">
        <f t="shared" si="4"/>
        <v>0</v>
      </c>
    </row>
    <row r="172" spans="1:6" x14ac:dyDescent="0.25">
      <c r="A172" s="71">
        <v>169</v>
      </c>
      <c r="B172" s="41" t="s">
        <v>402</v>
      </c>
      <c r="C172" s="86">
        <v>7.26</v>
      </c>
      <c r="D172" s="60"/>
      <c r="E172" s="41"/>
      <c r="F172" s="76">
        <f t="shared" si="4"/>
        <v>0</v>
      </c>
    </row>
    <row r="173" spans="1:6" x14ac:dyDescent="0.25">
      <c r="A173" s="71">
        <v>170</v>
      </c>
      <c r="B173" s="41" t="s">
        <v>403</v>
      </c>
      <c r="C173" s="86">
        <v>16.98</v>
      </c>
      <c r="D173" s="60"/>
      <c r="E173" s="41"/>
      <c r="F173" s="76">
        <f t="shared" ref="F173:F236" si="5">C173*E173</f>
        <v>0</v>
      </c>
    </row>
    <row r="174" spans="1:6" x14ac:dyDescent="0.25">
      <c r="A174" s="71">
        <v>171</v>
      </c>
      <c r="B174" s="41" t="s">
        <v>404</v>
      </c>
      <c r="C174" s="86">
        <v>13.65</v>
      </c>
      <c r="D174" s="60"/>
      <c r="E174" s="41"/>
      <c r="F174" s="76">
        <f t="shared" si="5"/>
        <v>0</v>
      </c>
    </row>
    <row r="175" spans="1:6" x14ac:dyDescent="0.25">
      <c r="A175" s="71">
        <v>172</v>
      </c>
      <c r="B175" s="41" t="s">
        <v>405</v>
      </c>
      <c r="C175" s="86">
        <v>5.37</v>
      </c>
      <c r="D175" s="60"/>
      <c r="E175" s="41"/>
      <c r="F175" s="76">
        <f t="shared" si="5"/>
        <v>0</v>
      </c>
    </row>
    <row r="176" spans="1:6" x14ac:dyDescent="0.25">
      <c r="A176" s="71">
        <v>173</v>
      </c>
      <c r="B176" s="41" t="s">
        <v>406</v>
      </c>
      <c r="C176" s="86">
        <v>34.619999999999997</v>
      </c>
      <c r="D176" s="60"/>
      <c r="E176" s="41"/>
      <c r="F176" s="76">
        <f t="shared" si="5"/>
        <v>0</v>
      </c>
    </row>
    <row r="177" spans="1:6" x14ac:dyDescent="0.25">
      <c r="A177" s="71">
        <v>174</v>
      </c>
      <c r="B177" s="41" t="s">
        <v>407</v>
      </c>
      <c r="C177" s="86">
        <v>13.38</v>
      </c>
      <c r="D177" s="60"/>
      <c r="E177" s="41"/>
      <c r="F177" s="76">
        <f t="shared" si="5"/>
        <v>0</v>
      </c>
    </row>
    <row r="178" spans="1:6" x14ac:dyDescent="0.25">
      <c r="A178" s="71">
        <v>175</v>
      </c>
      <c r="B178" s="41" t="s">
        <v>408</v>
      </c>
      <c r="C178" s="86">
        <v>26.18</v>
      </c>
      <c r="D178" s="60"/>
      <c r="E178" s="41"/>
      <c r="F178" s="76">
        <f t="shared" si="5"/>
        <v>0</v>
      </c>
    </row>
    <row r="179" spans="1:6" x14ac:dyDescent="0.25">
      <c r="A179" s="71">
        <v>176</v>
      </c>
      <c r="B179" s="41" t="s">
        <v>409</v>
      </c>
      <c r="C179" s="86">
        <v>4.4800000000000004</v>
      </c>
      <c r="D179" s="60"/>
      <c r="E179" s="41"/>
      <c r="F179" s="76">
        <f t="shared" si="5"/>
        <v>0</v>
      </c>
    </row>
    <row r="180" spans="1:6" x14ac:dyDescent="0.25">
      <c r="A180" s="71">
        <v>177</v>
      </c>
      <c r="B180" s="41" t="s">
        <v>410</v>
      </c>
      <c r="C180" s="86">
        <v>8.5399999999999991</v>
      </c>
      <c r="D180" s="60"/>
      <c r="E180" s="41"/>
      <c r="F180" s="76">
        <f t="shared" si="5"/>
        <v>0</v>
      </c>
    </row>
    <row r="181" spans="1:6" x14ac:dyDescent="0.25">
      <c r="A181" s="71">
        <v>178</v>
      </c>
      <c r="B181" s="41" t="s">
        <v>411</v>
      </c>
      <c r="C181" s="86">
        <v>2.64</v>
      </c>
      <c r="D181" s="60"/>
      <c r="E181" s="41"/>
      <c r="F181" s="76">
        <f t="shared" si="5"/>
        <v>0</v>
      </c>
    </row>
    <row r="182" spans="1:6" x14ac:dyDescent="0.25">
      <c r="A182" s="71">
        <v>179</v>
      </c>
      <c r="B182" s="41" t="s">
        <v>412</v>
      </c>
      <c r="C182" s="86">
        <v>14.88</v>
      </c>
      <c r="D182" s="60"/>
      <c r="E182" s="41"/>
      <c r="F182" s="76">
        <f t="shared" si="5"/>
        <v>0</v>
      </c>
    </row>
    <row r="183" spans="1:6" x14ac:dyDescent="0.25">
      <c r="A183" s="71">
        <v>180</v>
      </c>
      <c r="B183" s="41" t="s">
        <v>413</v>
      </c>
      <c r="C183" s="86">
        <v>23.52</v>
      </c>
      <c r="D183" s="60"/>
      <c r="E183" s="41"/>
      <c r="F183" s="76">
        <f t="shared" si="5"/>
        <v>0</v>
      </c>
    </row>
    <row r="184" spans="1:6" x14ac:dyDescent="0.25">
      <c r="A184" s="71">
        <v>181</v>
      </c>
      <c r="B184" s="41" t="s">
        <v>414</v>
      </c>
      <c r="C184" s="86">
        <v>23.52</v>
      </c>
      <c r="D184" s="60"/>
      <c r="E184" s="41"/>
      <c r="F184" s="76">
        <f t="shared" si="5"/>
        <v>0</v>
      </c>
    </row>
    <row r="185" spans="1:6" x14ac:dyDescent="0.25">
      <c r="A185" s="71">
        <v>182</v>
      </c>
      <c r="B185" s="41" t="s">
        <v>415</v>
      </c>
      <c r="C185" s="86">
        <v>24.7</v>
      </c>
      <c r="D185" s="60"/>
      <c r="E185" s="41"/>
      <c r="F185" s="76">
        <f t="shared" si="5"/>
        <v>0</v>
      </c>
    </row>
    <row r="186" spans="1:6" x14ac:dyDescent="0.25">
      <c r="A186" s="71">
        <v>183</v>
      </c>
      <c r="B186" s="41" t="s">
        <v>416</v>
      </c>
      <c r="C186" s="86">
        <v>26.3</v>
      </c>
      <c r="D186" s="60"/>
      <c r="E186" s="41"/>
      <c r="F186" s="76">
        <f t="shared" si="5"/>
        <v>0</v>
      </c>
    </row>
    <row r="187" spans="1:6" x14ac:dyDescent="0.25">
      <c r="A187" s="71">
        <v>184</v>
      </c>
      <c r="B187" s="41"/>
      <c r="C187" s="86"/>
      <c r="D187" s="60"/>
      <c r="E187" s="41"/>
      <c r="F187" s="76">
        <f t="shared" si="5"/>
        <v>0</v>
      </c>
    </row>
    <row r="188" spans="1:6" x14ac:dyDescent="0.25">
      <c r="A188" s="71">
        <v>185</v>
      </c>
      <c r="B188" s="41" t="s">
        <v>417</v>
      </c>
      <c r="C188" s="86">
        <v>23.35</v>
      </c>
      <c r="D188" s="60"/>
      <c r="E188" s="41"/>
      <c r="F188" s="76">
        <f t="shared" si="5"/>
        <v>0</v>
      </c>
    </row>
    <row r="189" spans="1:6" x14ac:dyDescent="0.25">
      <c r="A189" s="71">
        <v>186</v>
      </c>
      <c r="B189" s="41" t="s">
        <v>418</v>
      </c>
      <c r="C189" s="86">
        <v>26.26</v>
      </c>
      <c r="D189" s="60"/>
      <c r="E189" s="41"/>
      <c r="F189" s="76">
        <f t="shared" si="5"/>
        <v>0</v>
      </c>
    </row>
    <row r="190" spans="1:6" x14ac:dyDescent="0.25">
      <c r="A190" s="71">
        <v>187</v>
      </c>
      <c r="B190" s="41"/>
      <c r="C190" s="86"/>
      <c r="D190" s="60"/>
      <c r="E190" s="41"/>
      <c r="F190" s="76">
        <f t="shared" si="5"/>
        <v>0</v>
      </c>
    </row>
    <row r="191" spans="1:6" x14ac:dyDescent="0.25">
      <c r="A191" s="71">
        <v>188</v>
      </c>
      <c r="B191" s="41" t="s">
        <v>419</v>
      </c>
      <c r="C191" s="86">
        <v>57.5</v>
      </c>
      <c r="D191" s="60"/>
      <c r="E191" s="41"/>
      <c r="F191" s="76">
        <f t="shared" si="5"/>
        <v>0</v>
      </c>
    </row>
    <row r="192" spans="1:6" x14ac:dyDescent="0.25">
      <c r="A192" s="71">
        <v>189</v>
      </c>
      <c r="B192" s="41" t="s">
        <v>420</v>
      </c>
      <c r="C192" s="86">
        <v>76.209999999999994</v>
      </c>
      <c r="D192" s="60"/>
      <c r="E192" s="41"/>
      <c r="F192" s="76">
        <f t="shared" si="5"/>
        <v>0</v>
      </c>
    </row>
    <row r="193" spans="1:6" x14ac:dyDescent="0.25">
      <c r="A193" s="71">
        <v>190</v>
      </c>
      <c r="B193" s="41" t="s">
        <v>421</v>
      </c>
      <c r="C193" s="86">
        <v>13</v>
      </c>
      <c r="D193" s="60"/>
      <c r="E193" s="41"/>
      <c r="F193" s="76">
        <f t="shared" si="5"/>
        <v>0</v>
      </c>
    </row>
    <row r="194" spans="1:6" x14ac:dyDescent="0.25">
      <c r="A194" s="71">
        <v>191</v>
      </c>
      <c r="B194" s="41"/>
      <c r="C194" s="86"/>
      <c r="D194" s="60"/>
      <c r="E194" s="41"/>
      <c r="F194" s="76">
        <f t="shared" si="5"/>
        <v>0</v>
      </c>
    </row>
    <row r="195" spans="1:6" x14ac:dyDescent="0.25">
      <c r="A195" s="71">
        <v>192</v>
      </c>
      <c r="B195" s="41" t="s">
        <v>422</v>
      </c>
      <c r="C195" s="86">
        <v>53</v>
      </c>
      <c r="D195" s="60"/>
      <c r="E195" s="41"/>
      <c r="F195" s="76">
        <f t="shared" si="5"/>
        <v>0</v>
      </c>
    </row>
    <row r="196" spans="1:6" x14ac:dyDescent="0.25">
      <c r="A196" s="71">
        <v>193</v>
      </c>
      <c r="B196" s="41" t="s">
        <v>423</v>
      </c>
      <c r="C196" s="86">
        <v>32</v>
      </c>
      <c r="D196" s="60"/>
      <c r="E196" s="41"/>
      <c r="F196" s="76">
        <f t="shared" si="5"/>
        <v>0</v>
      </c>
    </row>
    <row r="197" spans="1:6" x14ac:dyDescent="0.25">
      <c r="A197" s="71">
        <v>194</v>
      </c>
      <c r="B197" s="41"/>
      <c r="C197" s="86"/>
      <c r="D197" s="60"/>
      <c r="E197" s="41"/>
      <c r="F197" s="76">
        <f t="shared" si="5"/>
        <v>0</v>
      </c>
    </row>
    <row r="198" spans="1:6" x14ac:dyDescent="0.25">
      <c r="A198" s="71">
        <v>195</v>
      </c>
      <c r="B198" s="41" t="s">
        <v>424</v>
      </c>
      <c r="C198" s="86">
        <v>16.11</v>
      </c>
      <c r="D198" s="60"/>
      <c r="E198" s="41"/>
      <c r="F198" s="76">
        <f t="shared" si="5"/>
        <v>0</v>
      </c>
    </row>
    <row r="199" spans="1:6" x14ac:dyDescent="0.25">
      <c r="A199" s="71">
        <v>196</v>
      </c>
      <c r="B199" s="41" t="s">
        <v>425</v>
      </c>
      <c r="C199" s="86">
        <v>15.97</v>
      </c>
      <c r="D199" s="60"/>
      <c r="E199" s="41"/>
      <c r="F199" s="76">
        <f t="shared" si="5"/>
        <v>0</v>
      </c>
    </row>
    <row r="200" spans="1:6" x14ac:dyDescent="0.25">
      <c r="A200" s="71">
        <v>197</v>
      </c>
      <c r="B200" s="41" t="s">
        <v>426</v>
      </c>
      <c r="C200" s="86">
        <v>12.7</v>
      </c>
      <c r="D200" s="60"/>
      <c r="E200" s="41"/>
      <c r="F200" s="76">
        <f t="shared" si="5"/>
        <v>0</v>
      </c>
    </row>
    <row r="201" spans="1:6" x14ac:dyDescent="0.25">
      <c r="A201" s="71">
        <v>198</v>
      </c>
      <c r="B201" s="41"/>
      <c r="C201" s="86"/>
      <c r="D201" s="60"/>
      <c r="E201" s="41"/>
      <c r="F201" s="76">
        <f t="shared" si="5"/>
        <v>0</v>
      </c>
    </row>
    <row r="202" spans="1:6" x14ac:dyDescent="0.25">
      <c r="A202" s="71">
        <v>199</v>
      </c>
      <c r="B202" s="41"/>
      <c r="C202" s="86"/>
      <c r="D202" s="60"/>
      <c r="E202" s="41"/>
      <c r="F202" s="76">
        <f t="shared" si="5"/>
        <v>0</v>
      </c>
    </row>
    <row r="203" spans="1:6" x14ac:dyDescent="0.25">
      <c r="A203" s="71">
        <v>200</v>
      </c>
      <c r="B203" s="41" t="s">
        <v>427</v>
      </c>
      <c r="C203" s="86">
        <v>9.4700000000000006</v>
      </c>
      <c r="D203" s="60"/>
      <c r="E203" s="41"/>
      <c r="F203" s="76">
        <f t="shared" si="5"/>
        <v>0</v>
      </c>
    </row>
    <row r="204" spans="1:6" x14ac:dyDescent="0.25">
      <c r="A204" s="71">
        <v>201</v>
      </c>
      <c r="B204" s="41" t="s">
        <v>428</v>
      </c>
      <c r="C204" s="86">
        <v>19.62</v>
      </c>
      <c r="D204" s="60"/>
      <c r="E204" s="41"/>
      <c r="F204" s="76">
        <f t="shared" si="5"/>
        <v>0</v>
      </c>
    </row>
    <row r="205" spans="1:6" x14ac:dyDescent="0.25">
      <c r="A205" s="71">
        <v>202</v>
      </c>
      <c r="B205" s="41" t="s">
        <v>427</v>
      </c>
      <c r="C205" s="86">
        <v>6.53</v>
      </c>
      <c r="D205" s="60"/>
      <c r="E205" s="41"/>
      <c r="F205" s="76">
        <f t="shared" si="5"/>
        <v>0</v>
      </c>
    </row>
    <row r="206" spans="1:6" x14ac:dyDescent="0.25">
      <c r="A206" s="71">
        <v>203</v>
      </c>
      <c r="B206" s="41" t="s">
        <v>428</v>
      </c>
      <c r="C206" s="86">
        <v>13.5</v>
      </c>
      <c r="D206" s="60"/>
      <c r="E206" s="41"/>
      <c r="F206" s="76">
        <f t="shared" si="5"/>
        <v>0</v>
      </c>
    </row>
    <row r="207" spans="1:6" x14ac:dyDescent="0.25">
      <c r="A207" s="71">
        <v>204</v>
      </c>
      <c r="B207" s="41"/>
      <c r="C207" s="86"/>
      <c r="D207" s="60"/>
      <c r="E207" s="41"/>
      <c r="F207" s="76">
        <f t="shared" si="5"/>
        <v>0</v>
      </c>
    </row>
    <row r="208" spans="1:6" x14ac:dyDescent="0.25">
      <c r="A208" s="71">
        <v>205</v>
      </c>
      <c r="B208" s="41" t="s">
        <v>429</v>
      </c>
      <c r="C208" s="86">
        <v>111.29</v>
      </c>
      <c r="D208" s="60"/>
      <c r="E208" s="41"/>
      <c r="F208" s="76">
        <f t="shared" si="5"/>
        <v>0</v>
      </c>
    </row>
    <row r="209" spans="1:6" x14ac:dyDescent="0.25">
      <c r="A209" s="71">
        <v>206</v>
      </c>
      <c r="B209" s="41" t="s">
        <v>430</v>
      </c>
      <c r="C209" s="86">
        <v>11.24</v>
      </c>
      <c r="D209" s="60"/>
      <c r="E209" s="41"/>
      <c r="F209" s="76">
        <f t="shared" si="5"/>
        <v>0</v>
      </c>
    </row>
    <row r="210" spans="1:6" x14ac:dyDescent="0.25">
      <c r="A210" s="71">
        <v>207</v>
      </c>
      <c r="B210" s="41" t="s">
        <v>431</v>
      </c>
      <c r="C210" s="86">
        <v>62.93</v>
      </c>
      <c r="D210" s="60"/>
      <c r="E210" s="41"/>
      <c r="F210" s="76">
        <f t="shared" si="5"/>
        <v>0</v>
      </c>
    </row>
    <row r="211" spans="1:6" x14ac:dyDescent="0.25">
      <c r="A211" s="71">
        <v>208</v>
      </c>
      <c r="B211" s="41"/>
      <c r="C211" s="86"/>
      <c r="D211" s="60"/>
      <c r="E211" s="41"/>
      <c r="F211" s="76">
        <f t="shared" si="5"/>
        <v>0</v>
      </c>
    </row>
    <row r="212" spans="1:6" x14ac:dyDescent="0.25">
      <c r="A212" s="71">
        <v>209</v>
      </c>
      <c r="B212" s="41" t="s">
        <v>432</v>
      </c>
      <c r="C212" s="86">
        <v>1.1599999999999999</v>
      </c>
      <c r="D212" s="60"/>
      <c r="E212" s="41"/>
      <c r="F212" s="76">
        <f t="shared" si="5"/>
        <v>0</v>
      </c>
    </row>
    <row r="213" spans="1:6" x14ac:dyDescent="0.25">
      <c r="A213" s="71">
        <v>210</v>
      </c>
      <c r="B213" s="41" t="s">
        <v>433</v>
      </c>
      <c r="C213" s="86">
        <v>1.89</v>
      </c>
      <c r="D213" s="60"/>
      <c r="E213" s="41"/>
      <c r="F213" s="76">
        <f t="shared" si="5"/>
        <v>0</v>
      </c>
    </row>
    <row r="214" spans="1:6" x14ac:dyDescent="0.25">
      <c r="A214" s="71">
        <v>211</v>
      </c>
      <c r="B214" s="41"/>
      <c r="C214" s="86"/>
      <c r="D214" s="60"/>
      <c r="E214" s="41"/>
      <c r="F214" s="76">
        <f t="shared" si="5"/>
        <v>0</v>
      </c>
    </row>
    <row r="215" spans="1:6" x14ac:dyDescent="0.25">
      <c r="A215" s="71">
        <v>212</v>
      </c>
      <c r="B215" s="41" t="s">
        <v>434</v>
      </c>
      <c r="C215" s="86">
        <v>645</v>
      </c>
      <c r="D215" s="60"/>
      <c r="E215" s="41"/>
      <c r="F215" s="76">
        <f t="shared" si="5"/>
        <v>0</v>
      </c>
    </row>
    <row r="216" spans="1:6" x14ac:dyDescent="0.25">
      <c r="A216" s="71">
        <v>213</v>
      </c>
      <c r="B216" s="41" t="s">
        <v>435</v>
      </c>
      <c r="C216" s="86">
        <v>359</v>
      </c>
      <c r="D216" s="60"/>
      <c r="E216" s="41"/>
      <c r="F216" s="76">
        <f t="shared" si="5"/>
        <v>0</v>
      </c>
    </row>
    <row r="217" spans="1:6" x14ac:dyDescent="0.25">
      <c r="A217" s="71">
        <v>214</v>
      </c>
      <c r="B217" s="41" t="s">
        <v>436</v>
      </c>
      <c r="C217" s="86">
        <v>222.1</v>
      </c>
      <c r="D217" s="60"/>
      <c r="E217" s="41"/>
      <c r="F217" s="76">
        <f t="shared" si="5"/>
        <v>0</v>
      </c>
    </row>
    <row r="218" spans="1:6" x14ac:dyDescent="0.25">
      <c r="A218" s="71">
        <v>215</v>
      </c>
      <c r="B218" s="41" t="s">
        <v>437</v>
      </c>
      <c r="C218" s="86">
        <v>59.9</v>
      </c>
      <c r="D218" s="60"/>
      <c r="E218" s="41"/>
      <c r="F218" s="76">
        <f t="shared" si="5"/>
        <v>0</v>
      </c>
    </row>
    <row r="219" spans="1:6" x14ac:dyDescent="0.25">
      <c r="A219" s="71">
        <v>216</v>
      </c>
      <c r="B219" s="41" t="s">
        <v>438</v>
      </c>
      <c r="C219" s="86">
        <v>52</v>
      </c>
      <c r="D219" s="60"/>
      <c r="E219" s="41"/>
      <c r="F219" s="76">
        <f t="shared" si="5"/>
        <v>0</v>
      </c>
    </row>
    <row r="220" spans="1:6" x14ac:dyDescent="0.25">
      <c r="A220" s="71">
        <v>217</v>
      </c>
      <c r="B220" s="41" t="s">
        <v>439</v>
      </c>
      <c r="C220" s="86">
        <v>50</v>
      </c>
      <c r="D220" s="60"/>
      <c r="E220" s="41"/>
      <c r="F220" s="76">
        <f t="shared" si="5"/>
        <v>0</v>
      </c>
    </row>
    <row r="221" spans="1:6" x14ac:dyDescent="0.25">
      <c r="A221" s="71">
        <v>218</v>
      </c>
      <c r="B221" s="41" t="s">
        <v>440</v>
      </c>
      <c r="C221" s="86">
        <v>815</v>
      </c>
      <c r="D221" s="60"/>
      <c r="E221" s="41"/>
      <c r="F221" s="76">
        <f t="shared" si="5"/>
        <v>0</v>
      </c>
    </row>
    <row r="222" spans="1:6" x14ac:dyDescent="0.25">
      <c r="A222" s="71">
        <v>219</v>
      </c>
      <c r="B222" s="41" t="s">
        <v>441</v>
      </c>
      <c r="C222" s="86">
        <v>220</v>
      </c>
      <c r="D222" s="60"/>
      <c r="E222" s="41"/>
      <c r="F222" s="76">
        <f t="shared" si="5"/>
        <v>0</v>
      </c>
    </row>
    <row r="223" spans="1:6" x14ac:dyDescent="0.25">
      <c r="A223" s="71">
        <v>220</v>
      </c>
      <c r="B223" s="41"/>
      <c r="C223" s="86"/>
      <c r="D223" s="60"/>
      <c r="E223" s="41"/>
      <c r="F223" s="76">
        <f t="shared" si="5"/>
        <v>0</v>
      </c>
    </row>
    <row r="224" spans="1:6" x14ac:dyDescent="0.25">
      <c r="A224" s="71">
        <v>221</v>
      </c>
      <c r="B224" s="41" t="s">
        <v>442</v>
      </c>
      <c r="C224" s="86">
        <v>14.8</v>
      </c>
      <c r="D224" s="60"/>
      <c r="E224" s="41"/>
      <c r="F224" s="76">
        <f t="shared" si="5"/>
        <v>0</v>
      </c>
    </row>
    <row r="225" spans="1:6" x14ac:dyDescent="0.25">
      <c r="A225" s="71">
        <v>222</v>
      </c>
      <c r="B225" s="41" t="s">
        <v>443</v>
      </c>
      <c r="C225" s="86">
        <v>23</v>
      </c>
      <c r="D225" s="60"/>
      <c r="E225" s="41"/>
      <c r="F225" s="76">
        <f t="shared" si="5"/>
        <v>0</v>
      </c>
    </row>
    <row r="226" spans="1:6" x14ac:dyDescent="0.25">
      <c r="A226" s="71">
        <v>223</v>
      </c>
      <c r="B226" s="41"/>
      <c r="C226" s="86"/>
      <c r="D226" s="60"/>
      <c r="E226" s="41"/>
      <c r="F226" s="76">
        <f t="shared" si="5"/>
        <v>0</v>
      </c>
    </row>
    <row r="227" spans="1:6" x14ac:dyDescent="0.25">
      <c r="A227" s="71">
        <v>224</v>
      </c>
      <c r="B227" s="41"/>
      <c r="C227" s="86"/>
      <c r="D227" s="60"/>
      <c r="E227" s="41"/>
      <c r="F227" s="76">
        <f t="shared" si="5"/>
        <v>0</v>
      </c>
    </row>
    <row r="228" spans="1:6" x14ac:dyDescent="0.25">
      <c r="A228" s="71">
        <v>225</v>
      </c>
      <c r="B228" s="41" t="s">
        <v>444</v>
      </c>
      <c r="C228" s="86">
        <v>7</v>
      </c>
      <c r="D228" s="60"/>
      <c r="E228" s="41"/>
      <c r="F228" s="76">
        <f t="shared" si="5"/>
        <v>0</v>
      </c>
    </row>
    <row r="229" spans="1:6" x14ac:dyDescent="0.25">
      <c r="A229" s="71">
        <v>226</v>
      </c>
      <c r="B229" s="41"/>
      <c r="C229" s="86"/>
      <c r="D229" s="60"/>
      <c r="E229" s="41"/>
      <c r="F229" s="76">
        <f t="shared" si="5"/>
        <v>0</v>
      </c>
    </row>
    <row r="230" spans="1:6" x14ac:dyDescent="0.25">
      <c r="A230" s="71">
        <v>227</v>
      </c>
      <c r="B230" s="41" t="s">
        <v>445</v>
      </c>
      <c r="C230" s="86">
        <v>17.66</v>
      </c>
      <c r="D230" s="60"/>
      <c r="E230" s="41"/>
      <c r="F230" s="76">
        <f t="shared" si="5"/>
        <v>0</v>
      </c>
    </row>
    <row r="231" spans="1:6" x14ac:dyDescent="0.25">
      <c r="A231" s="71">
        <v>228</v>
      </c>
      <c r="B231" s="41" t="s">
        <v>446</v>
      </c>
      <c r="C231" s="86">
        <v>30</v>
      </c>
      <c r="D231" s="60"/>
      <c r="E231" s="41"/>
      <c r="F231" s="76">
        <f t="shared" si="5"/>
        <v>0</v>
      </c>
    </row>
    <row r="232" spans="1:6" x14ac:dyDescent="0.25">
      <c r="A232" s="71">
        <v>229</v>
      </c>
      <c r="B232" s="41" t="s">
        <v>447</v>
      </c>
      <c r="C232" s="86">
        <v>50</v>
      </c>
      <c r="D232" s="60"/>
      <c r="E232" s="41"/>
      <c r="F232" s="76">
        <f t="shared" si="5"/>
        <v>0</v>
      </c>
    </row>
    <row r="233" spans="1:6" x14ac:dyDescent="0.25">
      <c r="A233" s="71">
        <v>230</v>
      </c>
      <c r="B233" s="41"/>
      <c r="C233" s="86"/>
      <c r="D233" s="60"/>
      <c r="E233" s="41"/>
      <c r="F233" s="76">
        <f t="shared" si="5"/>
        <v>0</v>
      </c>
    </row>
    <row r="234" spans="1:6" x14ac:dyDescent="0.25">
      <c r="A234" s="71">
        <v>231</v>
      </c>
      <c r="B234" s="41"/>
      <c r="C234" s="86"/>
      <c r="D234" s="60"/>
      <c r="E234" s="41"/>
      <c r="F234" s="76">
        <f t="shared" si="5"/>
        <v>0</v>
      </c>
    </row>
    <row r="235" spans="1:6" x14ac:dyDescent="0.25">
      <c r="A235" s="71">
        <v>232</v>
      </c>
      <c r="B235" s="41"/>
      <c r="C235" s="86"/>
      <c r="D235" s="60"/>
      <c r="E235" s="41"/>
      <c r="F235" s="76">
        <f t="shared" si="5"/>
        <v>0</v>
      </c>
    </row>
    <row r="236" spans="1:6" x14ac:dyDescent="0.25">
      <c r="A236" s="71">
        <v>233</v>
      </c>
      <c r="B236" s="41" t="s">
        <v>448</v>
      </c>
      <c r="C236" s="86">
        <v>3.61</v>
      </c>
      <c r="D236" s="60"/>
      <c r="E236" s="41"/>
      <c r="F236" s="76">
        <f t="shared" si="5"/>
        <v>0</v>
      </c>
    </row>
    <row r="237" spans="1:6" x14ac:dyDescent="0.25">
      <c r="A237" s="71">
        <v>234</v>
      </c>
      <c r="B237" s="41"/>
      <c r="C237" s="86"/>
      <c r="D237" s="60"/>
      <c r="E237" s="41"/>
      <c r="F237" s="76">
        <f t="shared" ref="F237:F300" si="6">C237*E237</f>
        <v>0</v>
      </c>
    </row>
    <row r="238" spans="1:6" x14ac:dyDescent="0.25">
      <c r="A238" s="71">
        <v>235</v>
      </c>
      <c r="B238" s="41" t="s">
        <v>449</v>
      </c>
      <c r="C238" s="86">
        <v>82</v>
      </c>
      <c r="D238" s="60"/>
      <c r="E238" s="41"/>
      <c r="F238" s="76">
        <f t="shared" si="6"/>
        <v>0</v>
      </c>
    </row>
    <row r="239" spans="1:6" x14ac:dyDescent="0.25">
      <c r="A239" s="71">
        <v>236</v>
      </c>
      <c r="B239" s="41"/>
      <c r="C239" s="86"/>
      <c r="D239" s="60"/>
      <c r="E239" s="41"/>
      <c r="F239" s="76">
        <f t="shared" si="6"/>
        <v>0</v>
      </c>
    </row>
    <row r="240" spans="1:6" x14ac:dyDescent="0.25">
      <c r="A240" s="71">
        <v>237</v>
      </c>
      <c r="B240" s="41" t="s">
        <v>450</v>
      </c>
      <c r="C240" s="86">
        <v>30.84</v>
      </c>
      <c r="D240" s="60"/>
      <c r="E240" s="41"/>
      <c r="F240" s="76">
        <f t="shared" si="6"/>
        <v>0</v>
      </c>
    </row>
    <row r="241" spans="1:6" x14ac:dyDescent="0.25">
      <c r="A241" s="71">
        <v>238</v>
      </c>
      <c r="B241" s="41" t="s">
        <v>451</v>
      </c>
      <c r="C241" s="86">
        <v>109.03</v>
      </c>
      <c r="D241" s="60"/>
      <c r="E241" s="41"/>
      <c r="F241" s="76">
        <f t="shared" si="6"/>
        <v>0</v>
      </c>
    </row>
    <row r="242" spans="1:6" x14ac:dyDescent="0.25">
      <c r="A242" s="71">
        <v>239</v>
      </c>
      <c r="B242" s="41" t="s">
        <v>452</v>
      </c>
      <c r="C242" s="86">
        <v>1.81</v>
      </c>
      <c r="D242" s="60"/>
      <c r="E242" s="41"/>
      <c r="F242" s="76">
        <f t="shared" si="6"/>
        <v>0</v>
      </c>
    </row>
    <row r="243" spans="1:6" x14ac:dyDescent="0.25">
      <c r="A243" s="71">
        <v>240</v>
      </c>
      <c r="B243" s="41"/>
      <c r="C243" s="86"/>
      <c r="D243" s="60"/>
      <c r="E243" s="41"/>
      <c r="F243" s="76">
        <f t="shared" si="6"/>
        <v>0</v>
      </c>
    </row>
    <row r="244" spans="1:6" x14ac:dyDescent="0.25">
      <c r="A244" s="71">
        <v>241</v>
      </c>
      <c r="B244" s="41" t="s">
        <v>453</v>
      </c>
      <c r="C244" s="86">
        <v>30.34</v>
      </c>
      <c r="D244" s="60"/>
      <c r="E244" s="41"/>
      <c r="F244" s="76">
        <f t="shared" si="6"/>
        <v>0</v>
      </c>
    </row>
    <row r="245" spans="1:6" x14ac:dyDescent="0.25">
      <c r="A245" s="71">
        <v>242</v>
      </c>
      <c r="B245" s="41" t="s">
        <v>454</v>
      </c>
      <c r="C245" s="86">
        <v>3.95</v>
      </c>
      <c r="D245" s="60"/>
      <c r="E245" s="41"/>
      <c r="F245" s="76">
        <f t="shared" si="6"/>
        <v>0</v>
      </c>
    </row>
    <row r="246" spans="1:6" x14ac:dyDescent="0.25">
      <c r="A246" s="71">
        <v>243</v>
      </c>
      <c r="B246" s="41" t="s">
        <v>578</v>
      </c>
      <c r="C246" s="86">
        <v>160</v>
      </c>
      <c r="D246" s="60"/>
      <c r="E246" s="41"/>
      <c r="F246" s="76">
        <f t="shared" si="6"/>
        <v>0</v>
      </c>
    </row>
    <row r="247" spans="1:6" x14ac:dyDescent="0.25">
      <c r="A247" s="71">
        <v>244</v>
      </c>
      <c r="B247" s="41" t="s">
        <v>455</v>
      </c>
      <c r="C247" s="86">
        <v>9</v>
      </c>
      <c r="D247" s="60"/>
      <c r="E247" s="41"/>
      <c r="F247" s="76">
        <f t="shared" si="6"/>
        <v>0</v>
      </c>
    </row>
    <row r="248" spans="1:6" x14ac:dyDescent="0.25">
      <c r="A248" s="71">
        <v>245</v>
      </c>
      <c r="B248" s="41" t="s">
        <v>456</v>
      </c>
      <c r="C248" s="86">
        <v>20</v>
      </c>
      <c r="D248" s="60"/>
      <c r="E248" s="41"/>
      <c r="F248" s="76">
        <f t="shared" si="6"/>
        <v>0</v>
      </c>
    </row>
    <row r="249" spans="1:6" x14ac:dyDescent="0.25">
      <c r="A249" s="71">
        <v>246</v>
      </c>
      <c r="B249" s="41" t="s">
        <v>457</v>
      </c>
      <c r="C249" s="86">
        <v>50</v>
      </c>
      <c r="D249" s="60"/>
      <c r="E249" s="41"/>
      <c r="F249" s="76">
        <f t="shared" si="6"/>
        <v>0</v>
      </c>
    </row>
    <row r="250" spans="1:6" x14ac:dyDescent="0.25">
      <c r="A250" s="71">
        <v>247</v>
      </c>
      <c r="B250" s="41"/>
      <c r="C250" s="86"/>
      <c r="D250" s="60"/>
      <c r="E250" s="41"/>
      <c r="F250" s="76">
        <f t="shared" si="6"/>
        <v>0</v>
      </c>
    </row>
    <row r="251" spans="1:6" x14ac:dyDescent="0.25">
      <c r="A251" s="71">
        <v>248</v>
      </c>
      <c r="B251" s="41" t="s">
        <v>458</v>
      </c>
      <c r="C251" s="86"/>
      <c r="D251" s="60"/>
      <c r="E251" s="41"/>
      <c r="F251" s="76">
        <f t="shared" si="6"/>
        <v>0</v>
      </c>
    </row>
    <row r="252" spans="1:6" x14ac:dyDescent="0.25">
      <c r="A252" s="71">
        <v>249</v>
      </c>
      <c r="B252" s="41" t="s">
        <v>459</v>
      </c>
      <c r="C252" s="86">
        <v>90</v>
      </c>
      <c r="D252" s="60"/>
      <c r="E252" s="41"/>
      <c r="F252" s="76">
        <f t="shared" si="6"/>
        <v>0</v>
      </c>
    </row>
    <row r="253" spans="1:6" x14ac:dyDescent="0.25">
      <c r="A253" s="71">
        <v>250</v>
      </c>
      <c r="B253" s="41"/>
      <c r="C253" s="86"/>
      <c r="D253" s="60"/>
      <c r="E253" s="41"/>
      <c r="F253" s="76">
        <f t="shared" si="6"/>
        <v>0</v>
      </c>
    </row>
    <row r="254" spans="1:6" x14ac:dyDescent="0.25">
      <c r="A254" s="71">
        <v>251</v>
      </c>
      <c r="B254" s="41" t="s">
        <v>460</v>
      </c>
      <c r="C254" s="86">
        <v>1.18</v>
      </c>
      <c r="D254" s="60"/>
      <c r="E254" s="41"/>
      <c r="F254" s="76">
        <f t="shared" si="6"/>
        <v>0</v>
      </c>
    </row>
    <row r="255" spans="1:6" x14ac:dyDescent="0.25">
      <c r="A255" s="71">
        <v>252</v>
      </c>
      <c r="B255" s="41"/>
      <c r="C255" s="86"/>
      <c r="D255" s="60"/>
      <c r="E255" s="41"/>
      <c r="F255" s="76">
        <f t="shared" si="6"/>
        <v>0</v>
      </c>
    </row>
    <row r="256" spans="1:6" x14ac:dyDescent="0.25">
      <c r="A256" s="71">
        <v>253</v>
      </c>
      <c r="B256" s="41"/>
      <c r="C256" s="86"/>
      <c r="D256" s="60"/>
      <c r="E256" s="41"/>
      <c r="F256" s="76">
        <f t="shared" si="6"/>
        <v>0</v>
      </c>
    </row>
    <row r="257" spans="1:6" x14ac:dyDescent="0.25">
      <c r="A257" s="71">
        <v>254</v>
      </c>
      <c r="B257" s="41"/>
      <c r="C257" s="86"/>
      <c r="D257" s="60"/>
      <c r="E257" s="41"/>
      <c r="F257" s="76">
        <f t="shared" si="6"/>
        <v>0</v>
      </c>
    </row>
    <row r="258" spans="1:6" x14ac:dyDescent="0.25">
      <c r="A258" s="71">
        <v>255</v>
      </c>
      <c r="B258" s="87"/>
      <c r="C258" s="86"/>
      <c r="D258" s="60"/>
      <c r="E258" s="41"/>
      <c r="F258" s="76">
        <f t="shared" si="6"/>
        <v>0</v>
      </c>
    </row>
    <row r="259" spans="1:6" x14ac:dyDescent="0.25">
      <c r="A259" s="71">
        <v>256</v>
      </c>
      <c r="B259" s="87"/>
      <c r="C259" s="86"/>
      <c r="D259" s="60"/>
      <c r="E259" s="41"/>
      <c r="F259" s="76">
        <f t="shared" si="6"/>
        <v>0</v>
      </c>
    </row>
    <row r="260" spans="1:6" x14ac:dyDescent="0.25">
      <c r="A260" s="71">
        <v>257</v>
      </c>
      <c r="B260" s="88" t="s">
        <v>240</v>
      </c>
      <c r="C260" s="86"/>
      <c r="D260" s="60"/>
      <c r="E260" s="41"/>
      <c r="F260" s="76">
        <f t="shared" si="6"/>
        <v>0</v>
      </c>
    </row>
    <row r="261" spans="1:6" x14ac:dyDescent="0.25">
      <c r="A261" s="71">
        <v>258</v>
      </c>
      <c r="B261" s="87" t="s">
        <v>241</v>
      </c>
      <c r="C261" s="86">
        <v>70</v>
      </c>
      <c r="D261" s="60"/>
      <c r="E261" s="41"/>
      <c r="F261" s="76">
        <f t="shared" si="6"/>
        <v>0</v>
      </c>
    </row>
    <row r="262" spans="1:6" x14ac:dyDescent="0.25">
      <c r="A262" s="71">
        <v>259</v>
      </c>
      <c r="B262" s="87" t="s">
        <v>242</v>
      </c>
      <c r="C262" s="86">
        <v>140</v>
      </c>
      <c r="D262" s="60"/>
      <c r="E262" s="41"/>
      <c r="F262" s="76">
        <f t="shared" si="6"/>
        <v>0</v>
      </c>
    </row>
    <row r="263" spans="1:6" x14ac:dyDescent="0.25">
      <c r="A263" s="71">
        <v>260</v>
      </c>
      <c r="B263" s="87" t="s">
        <v>243</v>
      </c>
      <c r="C263" s="86">
        <v>100</v>
      </c>
      <c r="D263" s="60"/>
      <c r="E263" s="41"/>
      <c r="F263" s="76">
        <f t="shared" si="6"/>
        <v>0</v>
      </c>
    </row>
    <row r="264" spans="1:6" x14ac:dyDescent="0.25">
      <c r="A264" s="71">
        <v>261</v>
      </c>
      <c r="B264" s="87"/>
      <c r="C264" s="86"/>
      <c r="D264" s="60"/>
      <c r="E264" s="41"/>
      <c r="F264" s="76">
        <f t="shared" si="6"/>
        <v>0</v>
      </c>
    </row>
    <row r="265" spans="1:6" x14ac:dyDescent="0.25">
      <c r="A265" s="71">
        <v>262</v>
      </c>
      <c r="B265" s="87" t="s">
        <v>244</v>
      </c>
      <c r="C265" s="86">
        <v>148</v>
      </c>
      <c r="D265" s="60"/>
      <c r="E265" s="41"/>
      <c r="F265" s="76">
        <f t="shared" si="6"/>
        <v>0</v>
      </c>
    </row>
    <row r="266" spans="1:6" x14ac:dyDescent="0.25">
      <c r="A266" s="71">
        <v>263</v>
      </c>
      <c r="B266" s="87" t="s">
        <v>245</v>
      </c>
      <c r="C266" s="86">
        <v>198</v>
      </c>
      <c r="D266" s="60"/>
      <c r="E266" s="41"/>
      <c r="F266" s="76">
        <f t="shared" si="6"/>
        <v>0</v>
      </c>
    </row>
    <row r="267" spans="1:6" x14ac:dyDescent="0.25">
      <c r="A267" s="71">
        <v>264</v>
      </c>
      <c r="B267" s="87" t="s">
        <v>246</v>
      </c>
      <c r="C267" s="86">
        <v>25</v>
      </c>
      <c r="D267" s="60"/>
      <c r="E267" s="41"/>
      <c r="F267" s="76">
        <f t="shared" si="6"/>
        <v>0</v>
      </c>
    </row>
    <row r="268" spans="1:6" x14ac:dyDescent="0.25">
      <c r="A268" s="71">
        <v>265</v>
      </c>
      <c r="B268" s="41"/>
      <c r="C268" s="86"/>
      <c r="D268" s="60"/>
      <c r="E268" s="41"/>
      <c r="F268" s="76">
        <f t="shared" si="6"/>
        <v>0</v>
      </c>
    </row>
    <row r="269" spans="1:6" x14ac:dyDescent="0.25">
      <c r="A269" s="71">
        <v>266</v>
      </c>
      <c r="B269" s="87" t="s">
        <v>247</v>
      </c>
      <c r="C269" s="86">
        <v>25</v>
      </c>
      <c r="D269" s="60"/>
      <c r="E269" s="41"/>
      <c r="F269" s="76">
        <f t="shared" si="6"/>
        <v>0</v>
      </c>
    </row>
    <row r="270" spans="1:6" x14ac:dyDescent="0.25">
      <c r="A270" s="71">
        <v>267</v>
      </c>
      <c r="B270" s="87" t="s">
        <v>248</v>
      </c>
      <c r="C270" s="86">
        <v>30</v>
      </c>
      <c r="D270" s="60"/>
      <c r="E270" s="41"/>
      <c r="F270" s="76">
        <f t="shared" si="6"/>
        <v>0</v>
      </c>
    </row>
    <row r="271" spans="1:6" x14ac:dyDescent="0.25">
      <c r="A271" s="71">
        <v>268</v>
      </c>
      <c r="B271" s="87" t="s">
        <v>249</v>
      </c>
      <c r="C271" s="86">
        <v>30</v>
      </c>
      <c r="D271" s="60"/>
      <c r="E271" s="41"/>
      <c r="F271" s="76">
        <f t="shared" si="6"/>
        <v>0</v>
      </c>
    </row>
    <row r="272" spans="1:6" x14ac:dyDescent="0.25">
      <c r="A272" s="71">
        <v>269</v>
      </c>
      <c r="B272" s="87"/>
      <c r="C272" s="86"/>
      <c r="D272" s="60"/>
      <c r="E272" s="41"/>
      <c r="F272" s="76">
        <f t="shared" si="6"/>
        <v>0</v>
      </c>
    </row>
    <row r="273" spans="1:6" x14ac:dyDescent="0.25">
      <c r="A273" s="71">
        <v>270</v>
      </c>
      <c r="B273" s="87" t="s">
        <v>250</v>
      </c>
      <c r="C273" s="86">
        <v>25</v>
      </c>
      <c r="D273" s="60"/>
      <c r="E273" s="41"/>
      <c r="F273" s="76">
        <f t="shared" si="6"/>
        <v>0</v>
      </c>
    </row>
    <row r="274" spans="1:6" x14ac:dyDescent="0.25">
      <c r="A274" s="71">
        <v>271</v>
      </c>
      <c r="B274" s="87"/>
      <c r="C274" s="86"/>
      <c r="D274" s="60"/>
      <c r="E274" s="41"/>
      <c r="F274" s="76">
        <f t="shared" si="6"/>
        <v>0</v>
      </c>
    </row>
    <row r="275" spans="1:6" x14ac:dyDescent="0.25">
      <c r="A275" s="71">
        <v>272</v>
      </c>
      <c r="B275" s="87"/>
      <c r="C275" s="86"/>
      <c r="D275" s="60"/>
      <c r="E275" s="41"/>
      <c r="F275" s="76">
        <f t="shared" si="6"/>
        <v>0</v>
      </c>
    </row>
    <row r="276" spans="1:6" x14ac:dyDescent="0.25">
      <c r="A276" s="71">
        <v>273</v>
      </c>
      <c r="B276" s="41"/>
      <c r="C276" s="86"/>
      <c r="D276" s="60"/>
      <c r="E276" s="41"/>
      <c r="F276" s="76">
        <f t="shared" si="6"/>
        <v>0</v>
      </c>
    </row>
    <row r="277" spans="1:6" x14ac:dyDescent="0.25">
      <c r="A277" s="71">
        <v>274</v>
      </c>
      <c r="B277" s="56" t="s">
        <v>461</v>
      </c>
      <c r="C277" s="86"/>
      <c r="D277" s="60"/>
      <c r="E277" s="41"/>
      <c r="F277" s="76">
        <f t="shared" si="6"/>
        <v>0</v>
      </c>
    </row>
    <row r="278" spans="1:6" x14ac:dyDescent="0.25">
      <c r="A278" s="71">
        <v>275</v>
      </c>
      <c r="B278" s="41" t="s">
        <v>462</v>
      </c>
      <c r="C278" s="86">
        <v>60</v>
      </c>
      <c r="D278" s="60"/>
      <c r="E278" s="41"/>
      <c r="F278" s="76">
        <f t="shared" si="6"/>
        <v>0</v>
      </c>
    </row>
    <row r="279" spans="1:6" x14ac:dyDescent="0.25">
      <c r="A279" s="71">
        <v>276</v>
      </c>
      <c r="B279" s="41" t="s">
        <v>463</v>
      </c>
      <c r="C279" s="86">
        <v>50</v>
      </c>
      <c r="D279" s="60"/>
      <c r="E279" s="41"/>
      <c r="F279" s="76">
        <f t="shared" si="6"/>
        <v>0</v>
      </c>
    </row>
    <row r="280" spans="1:6" x14ac:dyDescent="0.25">
      <c r="A280" s="71">
        <v>277</v>
      </c>
      <c r="B280" s="41" t="s">
        <v>464</v>
      </c>
      <c r="C280" s="89">
        <v>500</v>
      </c>
      <c r="D280" s="60"/>
      <c r="E280" s="41"/>
      <c r="F280" s="76">
        <f t="shared" si="6"/>
        <v>0</v>
      </c>
    </row>
    <row r="281" spans="1:6" x14ac:dyDescent="0.25">
      <c r="A281" s="71">
        <v>278</v>
      </c>
      <c r="B281" s="41"/>
      <c r="C281" s="89">
        <v>136</v>
      </c>
      <c r="D281" s="60"/>
      <c r="E281" s="41"/>
      <c r="F281" s="76">
        <f t="shared" si="6"/>
        <v>0</v>
      </c>
    </row>
    <row r="282" spans="1:6" x14ac:dyDescent="0.25">
      <c r="A282" s="71">
        <v>279</v>
      </c>
      <c r="B282" s="41" t="s">
        <v>465</v>
      </c>
      <c r="C282" s="89">
        <v>7.44</v>
      </c>
      <c r="D282" s="60"/>
      <c r="E282" s="41"/>
      <c r="F282" s="76">
        <f t="shared" si="6"/>
        <v>0</v>
      </c>
    </row>
    <row r="283" spans="1:6" x14ac:dyDescent="0.25">
      <c r="A283" s="71">
        <v>280</v>
      </c>
      <c r="B283" s="41" t="s">
        <v>466</v>
      </c>
      <c r="C283" s="89">
        <v>136</v>
      </c>
      <c r="D283" s="60"/>
      <c r="E283" s="41"/>
      <c r="F283" s="76">
        <f t="shared" si="6"/>
        <v>0</v>
      </c>
    </row>
    <row r="284" spans="1:6" x14ac:dyDescent="0.25">
      <c r="A284" s="71">
        <v>281</v>
      </c>
      <c r="B284" s="41"/>
      <c r="C284" s="89"/>
      <c r="D284" s="60"/>
      <c r="E284" s="41"/>
      <c r="F284" s="76">
        <f t="shared" si="6"/>
        <v>0</v>
      </c>
    </row>
    <row r="285" spans="1:6" x14ac:dyDescent="0.25">
      <c r="A285" s="71">
        <v>282</v>
      </c>
      <c r="B285" s="41" t="s">
        <v>467</v>
      </c>
      <c r="C285" s="89">
        <v>10.5</v>
      </c>
      <c r="D285" s="60"/>
      <c r="E285" s="41"/>
      <c r="F285" s="76">
        <f t="shared" si="6"/>
        <v>0</v>
      </c>
    </row>
    <row r="286" spans="1:6" x14ac:dyDescent="0.25">
      <c r="A286" s="71">
        <v>283</v>
      </c>
      <c r="B286" s="41" t="s">
        <v>468</v>
      </c>
      <c r="C286" s="89">
        <v>10.5</v>
      </c>
      <c r="D286" s="60"/>
      <c r="E286" s="41"/>
      <c r="F286" s="76">
        <f t="shared" si="6"/>
        <v>0</v>
      </c>
    </row>
    <row r="287" spans="1:6" x14ac:dyDescent="0.25">
      <c r="A287" s="71">
        <v>284</v>
      </c>
      <c r="B287" s="41" t="s">
        <v>469</v>
      </c>
      <c r="C287" s="89">
        <v>7.9</v>
      </c>
      <c r="D287" s="60"/>
      <c r="E287" s="41"/>
      <c r="F287" s="76">
        <f t="shared" si="6"/>
        <v>0</v>
      </c>
    </row>
    <row r="288" spans="1:6" x14ac:dyDescent="0.25">
      <c r="A288" s="71">
        <v>285</v>
      </c>
      <c r="B288" s="41" t="s">
        <v>470</v>
      </c>
      <c r="C288" s="89">
        <v>10.5</v>
      </c>
      <c r="D288" s="60"/>
      <c r="E288" s="41"/>
      <c r="F288" s="76">
        <f t="shared" si="6"/>
        <v>0</v>
      </c>
    </row>
    <row r="289" spans="1:6" x14ac:dyDescent="0.25">
      <c r="A289" s="71">
        <v>286</v>
      </c>
      <c r="B289" s="41" t="s">
        <v>471</v>
      </c>
      <c r="C289" s="89">
        <v>8.3000000000000007</v>
      </c>
      <c r="D289" s="60"/>
      <c r="E289" s="41"/>
      <c r="F289" s="76">
        <f t="shared" si="6"/>
        <v>0</v>
      </c>
    </row>
    <row r="290" spans="1:6" x14ac:dyDescent="0.25">
      <c r="A290" s="71">
        <v>287</v>
      </c>
      <c r="B290" s="41" t="s">
        <v>472</v>
      </c>
      <c r="C290" s="89">
        <v>170</v>
      </c>
      <c r="D290" s="60"/>
      <c r="E290" s="41"/>
      <c r="F290" s="76">
        <f t="shared" si="6"/>
        <v>0</v>
      </c>
    </row>
    <row r="291" spans="1:6" x14ac:dyDescent="0.25">
      <c r="A291" s="71">
        <v>288</v>
      </c>
      <c r="B291" s="90" t="s">
        <v>473</v>
      </c>
      <c r="C291" s="89"/>
      <c r="D291" s="60"/>
      <c r="E291" s="41"/>
      <c r="F291" s="76">
        <f t="shared" si="6"/>
        <v>0</v>
      </c>
    </row>
    <row r="292" spans="1:6" x14ac:dyDescent="0.25">
      <c r="A292" s="71">
        <v>289</v>
      </c>
      <c r="B292" s="41"/>
      <c r="C292" s="89"/>
      <c r="D292" s="60"/>
      <c r="E292" s="41"/>
      <c r="F292" s="76">
        <f t="shared" si="6"/>
        <v>0</v>
      </c>
    </row>
    <row r="293" spans="1:6" x14ac:dyDescent="0.25">
      <c r="A293" s="71">
        <v>290</v>
      </c>
      <c r="B293" s="41" t="s">
        <v>474</v>
      </c>
      <c r="C293" s="89">
        <v>50</v>
      </c>
      <c r="D293" s="60"/>
      <c r="E293" s="41"/>
      <c r="F293" s="76">
        <f t="shared" si="6"/>
        <v>0</v>
      </c>
    </row>
    <row r="294" spans="1:6" x14ac:dyDescent="0.25">
      <c r="A294" s="71">
        <v>291</v>
      </c>
      <c r="B294" s="41" t="s">
        <v>475</v>
      </c>
      <c r="C294" s="89">
        <v>15</v>
      </c>
      <c r="D294" s="60"/>
      <c r="E294" s="41"/>
      <c r="F294" s="76">
        <f t="shared" si="6"/>
        <v>0</v>
      </c>
    </row>
    <row r="295" spans="1:6" x14ac:dyDescent="0.25">
      <c r="A295" s="71">
        <v>292</v>
      </c>
      <c r="B295" s="41" t="s">
        <v>476</v>
      </c>
      <c r="C295" s="89">
        <v>20</v>
      </c>
      <c r="D295" s="60"/>
      <c r="E295" s="41"/>
      <c r="F295" s="76">
        <f t="shared" si="6"/>
        <v>0</v>
      </c>
    </row>
    <row r="296" spans="1:6" x14ac:dyDescent="0.25">
      <c r="A296" s="71">
        <v>293</v>
      </c>
      <c r="B296" s="41"/>
      <c r="C296" s="89"/>
      <c r="D296" s="60"/>
      <c r="E296" s="41"/>
      <c r="F296" s="76">
        <f t="shared" si="6"/>
        <v>0</v>
      </c>
    </row>
    <row r="297" spans="1:6" x14ac:dyDescent="0.25">
      <c r="A297" s="71">
        <v>294</v>
      </c>
      <c r="B297" s="41" t="s">
        <v>477</v>
      </c>
      <c r="C297" s="89">
        <v>800</v>
      </c>
      <c r="D297" s="60"/>
      <c r="E297" s="41"/>
      <c r="F297" s="76">
        <f t="shared" si="6"/>
        <v>0</v>
      </c>
    </row>
    <row r="298" spans="1:6" x14ac:dyDescent="0.25">
      <c r="A298" s="71">
        <v>295</v>
      </c>
      <c r="B298" s="41"/>
      <c r="C298" s="89"/>
      <c r="D298" s="60"/>
      <c r="E298" s="41"/>
      <c r="F298" s="76">
        <f t="shared" si="6"/>
        <v>0</v>
      </c>
    </row>
    <row r="299" spans="1:6" x14ac:dyDescent="0.25">
      <c r="A299" s="71">
        <v>296</v>
      </c>
      <c r="B299" s="41" t="s">
        <v>478</v>
      </c>
      <c r="C299" s="89">
        <v>38</v>
      </c>
      <c r="D299" s="60"/>
      <c r="E299" s="41"/>
      <c r="F299" s="76">
        <f t="shared" si="6"/>
        <v>0</v>
      </c>
    </row>
    <row r="300" spans="1:6" x14ac:dyDescent="0.25">
      <c r="A300" s="71">
        <v>297</v>
      </c>
      <c r="B300" s="41" t="s">
        <v>479</v>
      </c>
      <c r="C300" s="89">
        <v>65.55</v>
      </c>
      <c r="D300" s="60"/>
      <c r="E300" s="41"/>
      <c r="F300" s="76">
        <f t="shared" si="6"/>
        <v>0</v>
      </c>
    </row>
    <row r="301" spans="1:6" x14ac:dyDescent="0.25">
      <c r="A301" s="71">
        <v>298</v>
      </c>
      <c r="B301" s="41" t="s">
        <v>480</v>
      </c>
      <c r="C301" s="89">
        <v>8.19</v>
      </c>
      <c r="D301" s="60"/>
      <c r="E301" s="41"/>
      <c r="F301" s="76">
        <f t="shared" ref="F301:F326" si="7">C301*E301</f>
        <v>0</v>
      </c>
    </row>
    <row r="302" spans="1:6" x14ac:dyDescent="0.25">
      <c r="A302" s="71">
        <v>299</v>
      </c>
      <c r="B302" s="41"/>
      <c r="C302" s="89"/>
      <c r="D302" s="60"/>
      <c r="E302" s="41"/>
      <c r="F302" s="76">
        <f t="shared" si="7"/>
        <v>0</v>
      </c>
    </row>
    <row r="303" spans="1:6" x14ac:dyDescent="0.25">
      <c r="A303" s="71">
        <v>300</v>
      </c>
      <c r="B303" s="41" t="s">
        <v>481</v>
      </c>
      <c r="C303" s="89">
        <v>264</v>
      </c>
      <c r="D303" s="60"/>
      <c r="E303" s="41"/>
      <c r="F303" s="76">
        <f t="shared" si="7"/>
        <v>0</v>
      </c>
    </row>
    <row r="304" spans="1:6" x14ac:dyDescent="0.25">
      <c r="A304" s="71">
        <v>301</v>
      </c>
      <c r="B304" s="41"/>
      <c r="C304" s="89">
        <v>75.5</v>
      </c>
      <c r="D304" s="60"/>
      <c r="E304" s="41"/>
      <c r="F304" s="76">
        <f t="shared" si="7"/>
        <v>0</v>
      </c>
    </row>
    <row r="305" spans="1:6" x14ac:dyDescent="0.25">
      <c r="A305" s="71">
        <v>302</v>
      </c>
      <c r="B305" s="41" t="s">
        <v>482</v>
      </c>
      <c r="C305" s="89">
        <v>79</v>
      </c>
      <c r="D305" s="60"/>
      <c r="E305" s="41"/>
      <c r="F305" s="76">
        <f t="shared" si="7"/>
        <v>0</v>
      </c>
    </row>
    <row r="306" spans="1:6" x14ac:dyDescent="0.25">
      <c r="A306" s="71">
        <v>303</v>
      </c>
      <c r="B306" s="41" t="s">
        <v>483</v>
      </c>
      <c r="C306" s="89">
        <v>59</v>
      </c>
      <c r="D306" s="60"/>
      <c r="E306" s="41"/>
      <c r="F306" s="76">
        <f t="shared" si="7"/>
        <v>0</v>
      </c>
    </row>
    <row r="307" spans="1:6" x14ac:dyDescent="0.25">
      <c r="A307" s="71">
        <v>304</v>
      </c>
      <c r="B307" s="41"/>
      <c r="C307" s="89"/>
      <c r="D307" s="60"/>
      <c r="E307" s="41"/>
      <c r="F307" s="76">
        <f t="shared" si="7"/>
        <v>0</v>
      </c>
    </row>
    <row r="308" spans="1:6" x14ac:dyDescent="0.25">
      <c r="A308" s="71">
        <v>305</v>
      </c>
      <c r="B308" s="41" t="s">
        <v>640</v>
      </c>
      <c r="C308" s="89">
        <v>1000</v>
      </c>
      <c r="D308" s="60"/>
      <c r="E308" s="41">
        <v>3</v>
      </c>
      <c r="F308" s="76">
        <f t="shared" si="7"/>
        <v>3000</v>
      </c>
    </row>
    <row r="309" spans="1:6" x14ac:dyDescent="0.25">
      <c r="A309" s="71">
        <v>306</v>
      </c>
      <c r="B309" s="41"/>
      <c r="C309" s="89"/>
      <c r="D309" s="60"/>
      <c r="E309" s="41"/>
      <c r="F309" s="76">
        <f t="shared" si="7"/>
        <v>0</v>
      </c>
    </row>
    <row r="310" spans="1:6" x14ac:dyDescent="0.25">
      <c r="A310" s="71">
        <v>307</v>
      </c>
      <c r="B310" s="41"/>
      <c r="C310" s="89"/>
      <c r="D310" s="60"/>
      <c r="E310" s="41"/>
      <c r="F310" s="76">
        <f t="shared" si="7"/>
        <v>0</v>
      </c>
    </row>
    <row r="311" spans="1:6" x14ac:dyDescent="0.25">
      <c r="A311" s="71">
        <v>308</v>
      </c>
      <c r="B311" s="41"/>
      <c r="C311" s="89"/>
      <c r="D311" s="60"/>
      <c r="E311" s="41"/>
      <c r="F311" s="76">
        <f t="shared" si="7"/>
        <v>0</v>
      </c>
    </row>
    <row r="312" spans="1:6" x14ac:dyDescent="0.25">
      <c r="A312" s="71">
        <v>309</v>
      </c>
      <c r="B312" s="41"/>
      <c r="C312" s="89"/>
      <c r="D312" s="60"/>
      <c r="E312" s="41"/>
      <c r="F312" s="76">
        <f t="shared" si="7"/>
        <v>0</v>
      </c>
    </row>
    <row r="313" spans="1:6" x14ac:dyDescent="0.25">
      <c r="A313" s="71">
        <v>310</v>
      </c>
      <c r="B313" s="41"/>
      <c r="C313" s="89"/>
      <c r="D313" s="60"/>
      <c r="E313" s="41"/>
      <c r="F313" s="76">
        <f t="shared" si="7"/>
        <v>0</v>
      </c>
    </row>
    <row r="314" spans="1:6" x14ac:dyDescent="0.25">
      <c r="A314" s="71">
        <v>311</v>
      </c>
      <c r="B314" s="41"/>
      <c r="C314" s="89"/>
      <c r="D314" s="60"/>
      <c r="E314" s="41"/>
      <c r="F314" s="76">
        <f t="shared" si="7"/>
        <v>0</v>
      </c>
    </row>
    <row r="315" spans="1:6" x14ac:dyDescent="0.25">
      <c r="A315" s="71">
        <v>312</v>
      </c>
      <c r="B315" s="41"/>
      <c r="C315" s="89"/>
      <c r="D315" s="60"/>
      <c r="E315" s="41"/>
      <c r="F315" s="76">
        <f t="shared" si="7"/>
        <v>0</v>
      </c>
    </row>
    <row r="316" spans="1:6" x14ac:dyDescent="0.25">
      <c r="A316" s="71">
        <v>313</v>
      </c>
      <c r="B316" s="41"/>
      <c r="C316" s="89"/>
      <c r="D316" s="60"/>
      <c r="E316" s="41"/>
      <c r="F316" s="76">
        <f t="shared" si="7"/>
        <v>0</v>
      </c>
    </row>
    <row r="317" spans="1:6" x14ac:dyDescent="0.25">
      <c r="A317" s="71">
        <v>314</v>
      </c>
      <c r="B317" s="41"/>
      <c r="C317" s="89"/>
      <c r="D317" s="60"/>
      <c r="E317" s="41"/>
      <c r="F317" s="76">
        <f t="shared" si="7"/>
        <v>0</v>
      </c>
    </row>
    <row r="318" spans="1:6" x14ac:dyDescent="0.25">
      <c r="A318" s="71">
        <v>315</v>
      </c>
      <c r="B318" s="41"/>
      <c r="C318" s="89"/>
      <c r="D318" s="60"/>
      <c r="E318" s="41"/>
      <c r="F318" s="76">
        <f t="shared" si="7"/>
        <v>0</v>
      </c>
    </row>
    <row r="319" spans="1:6" x14ac:dyDescent="0.25">
      <c r="A319" s="71">
        <v>316</v>
      </c>
      <c r="B319" s="41"/>
      <c r="C319" s="89"/>
      <c r="D319" s="60"/>
      <c r="E319" s="41"/>
      <c r="F319" s="76">
        <f t="shared" si="7"/>
        <v>0</v>
      </c>
    </row>
    <row r="320" spans="1:6" x14ac:dyDescent="0.25">
      <c r="A320" s="71">
        <v>317</v>
      </c>
      <c r="B320" s="41"/>
      <c r="C320" s="89"/>
      <c r="D320" s="60"/>
      <c r="E320" s="41"/>
      <c r="F320" s="76">
        <f t="shared" si="7"/>
        <v>0</v>
      </c>
    </row>
    <row r="321" spans="1:6" x14ac:dyDescent="0.25">
      <c r="A321" s="71">
        <v>318</v>
      </c>
      <c r="B321" s="41"/>
      <c r="C321" s="89"/>
      <c r="D321" s="60"/>
      <c r="E321" s="41"/>
      <c r="F321" s="76">
        <f t="shared" si="7"/>
        <v>0</v>
      </c>
    </row>
    <row r="322" spans="1:6" x14ac:dyDescent="0.25">
      <c r="A322" s="71">
        <v>319</v>
      </c>
      <c r="B322" s="41" t="s">
        <v>576</v>
      </c>
      <c r="C322" s="89">
        <v>250</v>
      </c>
      <c r="D322" s="60"/>
      <c r="E322" s="41">
        <v>3</v>
      </c>
      <c r="F322" s="76">
        <f t="shared" si="7"/>
        <v>750</v>
      </c>
    </row>
    <row r="323" spans="1:6" x14ac:dyDescent="0.25">
      <c r="A323" s="71">
        <v>320</v>
      </c>
      <c r="B323" s="41" t="s">
        <v>639</v>
      </c>
      <c r="C323" s="89">
        <v>750</v>
      </c>
      <c r="D323" s="60"/>
      <c r="E323" s="41">
        <v>1</v>
      </c>
      <c r="F323" s="76">
        <f t="shared" si="7"/>
        <v>750</v>
      </c>
    </row>
    <row r="324" spans="1:6" x14ac:dyDescent="0.25">
      <c r="A324" s="71">
        <v>321</v>
      </c>
      <c r="B324" s="41" t="s">
        <v>484</v>
      </c>
      <c r="C324" s="89">
        <v>150</v>
      </c>
      <c r="D324" s="60"/>
      <c r="E324" s="41"/>
      <c r="F324" s="76">
        <f t="shared" si="7"/>
        <v>0</v>
      </c>
    </row>
    <row r="325" spans="1:6" x14ac:dyDescent="0.25">
      <c r="A325" s="71">
        <v>322</v>
      </c>
      <c r="B325" s="41" t="s">
        <v>485</v>
      </c>
      <c r="C325" s="89">
        <v>250</v>
      </c>
      <c r="D325" s="60"/>
      <c r="E325" s="41"/>
      <c r="F325" s="76">
        <f t="shared" si="7"/>
        <v>0</v>
      </c>
    </row>
    <row r="326" spans="1:6" x14ac:dyDescent="0.25">
      <c r="A326" s="71">
        <v>323</v>
      </c>
      <c r="B326" s="41" t="s">
        <v>486</v>
      </c>
      <c r="C326" s="89">
        <v>150</v>
      </c>
      <c r="D326" s="60"/>
      <c r="E326" s="41"/>
      <c r="F326" s="76">
        <f t="shared" si="7"/>
        <v>0</v>
      </c>
    </row>
    <row r="327" spans="1:6" x14ac:dyDescent="0.25">
      <c r="B327" s="2" t="s">
        <v>115</v>
      </c>
      <c r="F327" s="11">
        <f>SUM(F4:F326)</f>
        <v>4668</v>
      </c>
    </row>
  </sheetData>
  <autoFilter ref="E1:E327" xr:uid="{E16DA6E0-1AD8-4955-8351-5C40A85D9B3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ACC3-71DE-4B0C-84E4-933D6EC0FF1D}">
  <dimension ref="A1:M71"/>
  <sheetViews>
    <sheetView topLeftCell="A7" zoomScale="131" zoomScaleNormal="131" workbookViewId="0">
      <selection activeCell="G43" sqref="G43"/>
    </sheetView>
  </sheetViews>
  <sheetFormatPr defaultColWidth="8.85546875" defaultRowHeight="15" x14ac:dyDescent="0.25"/>
  <cols>
    <col min="1" max="1" width="12.5703125" customWidth="1"/>
    <col min="2" max="2" width="43.85546875" customWidth="1"/>
    <col min="3" max="3" width="13.5703125" style="4" customWidth="1"/>
    <col min="5" max="5" width="32.42578125" customWidth="1"/>
    <col min="6" max="6" width="10.42578125" customWidth="1"/>
    <col min="7" max="7" width="11.140625" customWidth="1"/>
    <col min="8" max="8" width="13.85546875" customWidth="1"/>
    <col min="10" max="10" width="33.42578125" customWidth="1"/>
    <col min="13" max="13" width="8.85546875" style="4"/>
  </cols>
  <sheetData>
    <row r="1" spans="1:9" x14ac:dyDescent="0.25">
      <c r="A1" s="1" t="s">
        <v>235</v>
      </c>
    </row>
    <row r="2" spans="1:9" x14ac:dyDescent="0.25">
      <c r="A2" s="1"/>
      <c r="E2" s="1" t="s">
        <v>637</v>
      </c>
      <c r="F2" t="s">
        <v>238</v>
      </c>
      <c r="G2" t="s">
        <v>632</v>
      </c>
    </row>
    <row r="3" spans="1:9" x14ac:dyDescent="0.25">
      <c r="A3" s="57" t="s">
        <v>106</v>
      </c>
      <c r="B3" s="57" t="s">
        <v>237</v>
      </c>
      <c r="C3" s="57" t="s">
        <v>198</v>
      </c>
      <c r="E3" s="60" t="s">
        <v>629</v>
      </c>
      <c r="F3" s="62">
        <v>20.65</v>
      </c>
      <c r="G3" s="60" t="s">
        <v>633</v>
      </c>
      <c r="H3" s="60"/>
      <c r="I3" s="60"/>
    </row>
    <row r="4" spans="1:9" x14ac:dyDescent="0.25">
      <c r="A4" s="58"/>
      <c r="B4" s="70" t="s">
        <v>2</v>
      </c>
      <c r="C4" s="71"/>
      <c r="E4" s="60" t="s">
        <v>630</v>
      </c>
      <c r="F4" s="62">
        <v>20.65</v>
      </c>
      <c r="G4" s="60" t="s">
        <v>633</v>
      </c>
      <c r="H4" s="60"/>
      <c r="I4" s="60"/>
    </row>
    <row r="5" spans="1:9" x14ac:dyDescent="0.25">
      <c r="A5" s="58"/>
      <c r="B5" s="70" t="s">
        <v>238</v>
      </c>
      <c r="C5" s="59">
        <v>75</v>
      </c>
      <c r="E5" s="60" t="s">
        <v>635</v>
      </c>
      <c r="F5" s="62">
        <v>160</v>
      </c>
      <c r="G5" s="60"/>
      <c r="H5" s="60"/>
      <c r="I5" s="60"/>
    </row>
    <row r="6" spans="1:9" x14ac:dyDescent="0.25">
      <c r="A6" s="1"/>
      <c r="E6" s="60" t="s">
        <v>631</v>
      </c>
      <c r="F6" s="62">
        <v>10.76</v>
      </c>
      <c r="G6" s="60" t="s">
        <v>634</v>
      </c>
      <c r="H6" s="60"/>
      <c r="I6" s="60"/>
    </row>
    <row r="7" spans="1:9" x14ac:dyDescent="0.25">
      <c r="A7" s="1"/>
      <c r="B7" s="12" t="s">
        <v>239</v>
      </c>
      <c r="C7" s="78">
        <f>C4*C5</f>
        <v>0</v>
      </c>
      <c r="E7" s="60" t="s">
        <v>636</v>
      </c>
      <c r="F7" s="62">
        <v>60</v>
      </c>
      <c r="G7" s="60"/>
      <c r="H7" s="60"/>
      <c r="I7" s="60"/>
    </row>
    <row r="8" spans="1:9" x14ac:dyDescent="0.25">
      <c r="A8" s="1"/>
    </row>
    <row r="9" spans="1:9" x14ac:dyDescent="0.25">
      <c r="A9" s="1"/>
    </row>
    <row r="11" spans="1:9" x14ac:dyDescent="0.25">
      <c r="A11" s="57" t="s">
        <v>107</v>
      </c>
      <c r="B11" s="58" t="s">
        <v>79</v>
      </c>
      <c r="C11" s="57" t="s">
        <v>232</v>
      </c>
      <c r="E11" s="58" t="s">
        <v>266</v>
      </c>
      <c r="F11" s="71"/>
      <c r="G11" s="60"/>
      <c r="H11" s="60"/>
    </row>
    <row r="12" spans="1:9" x14ac:dyDescent="0.25">
      <c r="A12" s="71">
        <v>1</v>
      </c>
      <c r="B12" s="60" t="s">
        <v>235</v>
      </c>
      <c r="C12" s="17">
        <v>40</v>
      </c>
      <c r="E12" s="58" t="s">
        <v>259</v>
      </c>
      <c r="F12" s="57" t="s">
        <v>260</v>
      </c>
      <c r="G12" s="58" t="s">
        <v>198</v>
      </c>
      <c r="H12" s="58" t="s">
        <v>115</v>
      </c>
    </row>
    <row r="13" spans="1:9" x14ac:dyDescent="0.25">
      <c r="A13" s="71">
        <v>2</v>
      </c>
      <c r="B13" s="60"/>
      <c r="C13" s="17"/>
      <c r="E13" s="60" t="s">
        <v>257</v>
      </c>
      <c r="F13" s="71">
        <v>50</v>
      </c>
      <c r="G13" s="41"/>
      <c r="H13" s="60">
        <f>F13*G13</f>
        <v>0</v>
      </c>
    </row>
    <row r="14" spans="1:9" x14ac:dyDescent="0.25">
      <c r="A14" s="71">
        <v>3</v>
      </c>
      <c r="B14" s="60"/>
      <c r="C14" s="17"/>
      <c r="E14" s="72" t="s">
        <v>264</v>
      </c>
      <c r="F14" s="71"/>
      <c r="G14" s="41"/>
      <c r="H14" s="60">
        <f t="shared" ref="H14:H26" si="0">F14*G14</f>
        <v>0</v>
      </c>
    </row>
    <row r="15" spans="1:9" x14ac:dyDescent="0.25">
      <c r="A15" s="71">
        <v>4</v>
      </c>
      <c r="B15" s="60"/>
      <c r="C15" s="17"/>
      <c r="E15" s="60"/>
      <c r="F15" s="71"/>
      <c r="G15" s="41"/>
      <c r="H15" s="60">
        <f t="shared" si="0"/>
        <v>0</v>
      </c>
    </row>
    <row r="16" spans="1:9" x14ac:dyDescent="0.25">
      <c r="A16" s="71">
        <v>5</v>
      </c>
      <c r="B16" s="60"/>
      <c r="C16" s="17"/>
      <c r="E16" s="60" t="s">
        <v>258</v>
      </c>
      <c r="F16" s="71">
        <v>270</v>
      </c>
      <c r="G16" s="41"/>
      <c r="H16" s="60">
        <f t="shared" si="0"/>
        <v>0</v>
      </c>
    </row>
    <row r="17" spans="1:8" x14ac:dyDescent="0.25">
      <c r="A17" s="71">
        <v>6</v>
      </c>
      <c r="B17" s="60"/>
      <c r="C17" s="17"/>
      <c r="E17" s="60"/>
      <c r="F17" s="71"/>
      <c r="G17" s="41"/>
      <c r="H17" s="60">
        <f t="shared" si="0"/>
        <v>0</v>
      </c>
    </row>
    <row r="18" spans="1:8" x14ac:dyDescent="0.25">
      <c r="A18" s="71">
        <v>7</v>
      </c>
      <c r="B18" s="60"/>
      <c r="C18" s="17"/>
      <c r="E18" s="60" t="s">
        <v>261</v>
      </c>
      <c r="F18" s="71">
        <v>13</v>
      </c>
      <c r="G18" s="41"/>
      <c r="H18" s="60">
        <f t="shared" si="0"/>
        <v>0</v>
      </c>
    </row>
    <row r="19" spans="1:8" x14ac:dyDescent="0.25">
      <c r="A19" s="71">
        <v>8</v>
      </c>
      <c r="B19" s="60"/>
      <c r="C19" s="17"/>
      <c r="E19" s="60"/>
      <c r="F19" s="71"/>
      <c r="G19" s="41"/>
      <c r="H19" s="60">
        <f t="shared" si="0"/>
        <v>0</v>
      </c>
    </row>
    <row r="20" spans="1:8" x14ac:dyDescent="0.25">
      <c r="A20" s="71">
        <v>9</v>
      </c>
      <c r="B20" s="60"/>
      <c r="C20" s="17"/>
      <c r="E20" s="60" t="s">
        <v>262</v>
      </c>
      <c r="F20" s="71">
        <v>25</v>
      </c>
      <c r="G20" s="41"/>
      <c r="H20" s="60">
        <f t="shared" si="0"/>
        <v>0</v>
      </c>
    </row>
    <row r="21" spans="1:8" x14ac:dyDescent="0.25">
      <c r="A21" s="71">
        <v>10</v>
      </c>
      <c r="B21" s="60"/>
      <c r="C21" s="17"/>
      <c r="E21" s="60"/>
      <c r="F21" s="71"/>
      <c r="G21" s="41"/>
      <c r="H21" s="60">
        <f t="shared" si="0"/>
        <v>0</v>
      </c>
    </row>
    <row r="22" spans="1:8" x14ac:dyDescent="0.25">
      <c r="A22" s="71">
        <v>11</v>
      </c>
      <c r="B22" s="60"/>
      <c r="C22" s="17"/>
      <c r="E22" s="60" t="s">
        <v>263</v>
      </c>
      <c r="F22" s="71">
        <v>10</v>
      </c>
      <c r="G22" s="41"/>
      <c r="H22" s="60">
        <f t="shared" si="0"/>
        <v>0</v>
      </c>
    </row>
    <row r="23" spans="1:8" x14ac:dyDescent="0.25">
      <c r="A23" s="71">
        <v>12</v>
      </c>
      <c r="B23" s="60"/>
      <c r="C23" s="17"/>
      <c r="E23" s="60"/>
      <c r="F23" s="71"/>
      <c r="G23" s="41"/>
      <c r="H23" s="60">
        <f t="shared" si="0"/>
        <v>0</v>
      </c>
    </row>
    <row r="24" spans="1:8" x14ac:dyDescent="0.25">
      <c r="A24" s="71">
        <v>13</v>
      </c>
      <c r="B24" s="60"/>
      <c r="C24" s="17"/>
      <c r="E24" s="60" t="s">
        <v>265</v>
      </c>
      <c r="F24" s="71">
        <v>5</v>
      </c>
      <c r="G24" s="41"/>
      <c r="H24" s="60">
        <f t="shared" si="0"/>
        <v>0</v>
      </c>
    </row>
    <row r="25" spans="1:8" x14ac:dyDescent="0.25">
      <c r="A25" s="71">
        <v>14</v>
      </c>
      <c r="B25" s="60"/>
      <c r="C25" s="17"/>
      <c r="E25" s="60" t="s">
        <v>605</v>
      </c>
      <c r="F25" s="71">
        <v>23</v>
      </c>
      <c r="G25" s="41"/>
      <c r="H25" s="60">
        <f t="shared" si="0"/>
        <v>0</v>
      </c>
    </row>
    <row r="26" spans="1:8" x14ac:dyDescent="0.25">
      <c r="A26" s="71">
        <v>15</v>
      </c>
      <c r="B26" s="60"/>
      <c r="C26" s="17"/>
      <c r="E26" s="60" t="s">
        <v>269</v>
      </c>
      <c r="F26" s="71">
        <v>2000</v>
      </c>
      <c r="G26" s="41"/>
      <c r="H26" s="60">
        <f t="shared" si="0"/>
        <v>0</v>
      </c>
    </row>
    <row r="27" spans="1:8" x14ac:dyDescent="0.25">
      <c r="A27" s="71">
        <v>16</v>
      </c>
      <c r="B27" s="60"/>
      <c r="C27" s="17"/>
      <c r="F27" s="4"/>
      <c r="G27" s="1" t="s">
        <v>268</v>
      </c>
      <c r="H27" s="13">
        <f>SUM(H13:H26)/1000</f>
        <v>0</v>
      </c>
    </row>
    <row r="28" spans="1:8" x14ac:dyDescent="0.25">
      <c r="A28" s="71">
        <v>17</v>
      </c>
      <c r="B28" s="60"/>
      <c r="C28" s="17"/>
    </row>
    <row r="29" spans="1:8" x14ac:dyDescent="0.25">
      <c r="A29" s="71">
        <v>18</v>
      </c>
      <c r="B29" s="60"/>
      <c r="C29" s="17"/>
    </row>
    <row r="30" spans="1:8" x14ac:dyDescent="0.25">
      <c r="A30" s="71">
        <v>19</v>
      </c>
      <c r="B30" s="60"/>
      <c r="C30" s="17"/>
    </row>
    <row r="31" spans="1:8" x14ac:dyDescent="0.25">
      <c r="A31" s="71">
        <v>20</v>
      </c>
      <c r="B31" s="60"/>
      <c r="C31" s="17"/>
      <c r="E31" s="1" t="s">
        <v>236</v>
      </c>
    </row>
    <row r="32" spans="1:8" x14ac:dyDescent="0.25">
      <c r="A32" s="4"/>
      <c r="E32" s="73" t="s">
        <v>240</v>
      </c>
      <c r="F32" s="1" t="s">
        <v>126</v>
      </c>
      <c r="G32" s="1" t="s">
        <v>198</v>
      </c>
      <c r="H32" s="1" t="s">
        <v>155</v>
      </c>
    </row>
    <row r="33" spans="1:8" x14ac:dyDescent="0.25">
      <c r="A33" s="4"/>
      <c r="B33" s="2" t="s">
        <v>115</v>
      </c>
      <c r="C33" s="4">
        <f>SUM(C12:C32)</f>
        <v>40</v>
      </c>
      <c r="E33" s="74" t="s">
        <v>598</v>
      </c>
      <c r="F33" s="75">
        <v>2500</v>
      </c>
      <c r="G33" s="41"/>
      <c r="H33" s="76">
        <f t="shared" ref="H33:H36" si="1">F33*G33</f>
        <v>0</v>
      </c>
    </row>
    <row r="34" spans="1:8" x14ac:dyDescent="0.25">
      <c r="A34" s="4"/>
      <c r="B34" s="2" t="s">
        <v>275</v>
      </c>
      <c r="C34" s="79">
        <v>42</v>
      </c>
      <c r="E34" s="110" t="s">
        <v>599</v>
      </c>
      <c r="F34" s="75"/>
      <c r="G34" s="41"/>
      <c r="H34" s="76">
        <f t="shared" si="1"/>
        <v>0</v>
      </c>
    </row>
    <row r="35" spans="1:8" x14ac:dyDescent="0.25">
      <c r="A35" s="4"/>
      <c r="E35" s="74"/>
      <c r="F35" s="75"/>
      <c r="G35" s="41"/>
      <c r="H35" s="76">
        <f t="shared" si="1"/>
        <v>0</v>
      </c>
    </row>
    <row r="36" spans="1:8" x14ac:dyDescent="0.25">
      <c r="B36" s="12" t="s">
        <v>273</v>
      </c>
      <c r="C36" s="78">
        <f>C33*C34</f>
        <v>1680</v>
      </c>
      <c r="E36" s="74"/>
      <c r="F36" s="75"/>
      <c r="G36" s="41"/>
      <c r="H36" s="76">
        <f t="shared" si="1"/>
        <v>0</v>
      </c>
    </row>
    <row r="37" spans="1:8" x14ac:dyDescent="0.25">
      <c r="E37" s="74" t="s">
        <v>241</v>
      </c>
      <c r="F37" s="75">
        <v>70</v>
      </c>
      <c r="G37" s="41">
        <v>10</v>
      </c>
      <c r="H37" s="76">
        <f>F37*G37</f>
        <v>700</v>
      </c>
    </row>
    <row r="38" spans="1:8" x14ac:dyDescent="0.25">
      <c r="B38" s="12" t="s">
        <v>274</v>
      </c>
      <c r="C38" s="14">
        <f>H51+H71</f>
        <v>4330</v>
      </c>
      <c r="E38" s="74" t="s">
        <v>251</v>
      </c>
      <c r="F38" s="75">
        <v>140</v>
      </c>
      <c r="G38" s="41">
        <v>10</v>
      </c>
      <c r="H38" s="76">
        <f t="shared" ref="H38:H39" si="2">F38*G38</f>
        <v>1400</v>
      </c>
    </row>
    <row r="39" spans="1:8" x14ac:dyDescent="0.25">
      <c r="E39" s="74" t="s">
        <v>250</v>
      </c>
      <c r="F39" s="75">
        <v>25</v>
      </c>
      <c r="G39" s="41">
        <v>10</v>
      </c>
      <c r="H39" s="76">
        <f t="shared" si="2"/>
        <v>250</v>
      </c>
    </row>
    <row r="40" spans="1:8" x14ac:dyDescent="0.25">
      <c r="E40" s="74"/>
      <c r="F40" s="75"/>
      <c r="G40" s="41"/>
      <c r="H40" s="76"/>
    </row>
    <row r="41" spans="1:8" x14ac:dyDescent="0.25">
      <c r="E41" s="77" t="s">
        <v>253</v>
      </c>
      <c r="F41" s="60"/>
      <c r="G41" s="41"/>
      <c r="H41" s="76"/>
    </row>
    <row r="42" spans="1:8" x14ac:dyDescent="0.25">
      <c r="E42" s="74" t="s">
        <v>245</v>
      </c>
      <c r="F42" s="75">
        <v>198</v>
      </c>
      <c r="G42" s="41">
        <v>10</v>
      </c>
      <c r="H42" s="76">
        <f t="shared" ref="H42:H43" si="3">F42*G42</f>
        <v>1980</v>
      </c>
    </row>
    <row r="43" spans="1:8" x14ac:dyDescent="0.25">
      <c r="E43" s="74" t="s">
        <v>244</v>
      </c>
      <c r="F43" s="75">
        <v>148</v>
      </c>
      <c r="G43" s="41"/>
      <c r="H43" s="76">
        <f t="shared" si="3"/>
        <v>0</v>
      </c>
    </row>
    <row r="44" spans="1:8" x14ac:dyDescent="0.25">
      <c r="E44" s="74" t="s">
        <v>252</v>
      </c>
      <c r="F44" s="75">
        <v>299</v>
      </c>
      <c r="G44" s="41"/>
      <c r="H44" s="76">
        <f t="shared" ref="H44:H50" si="4">F44*G44</f>
        <v>0</v>
      </c>
    </row>
    <row r="45" spans="1:8" x14ac:dyDescent="0.25">
      <c r="E45" s="74" t="s">
        <v>254</v>
      </c>
      <c r="F45" s="75">
        <v>90</v>
      </c>
      <c r="G45" s="41"/>
      <c r="H45" s="76">
        <f t="shared" si="4"/>
        <v>0</v>
      </c>
    </row>
    <row r="46" spans="1:8" x14ac:dyDescent="0.25">
      <c r="E46" s="74" t="s">
        <v>255</v>
      </c>
      <c r="F46" s="75">
        <v>150</v>
      </c>
      <c r="G46" s="41"/>
      <c r="H46" s="76">
        <f t="shared" si="4"/>
        <v>0</v>
      </c>
    </row>
    <row r="47" spans="1:8" x14ac:dyDescent="0.25">
      <c r="E47" s="74" t="s">
        <v>256</v>
      </c>
      <c r="F47" s="75">
        <v>110</v>
      </c>
      <c r="G47" s="41"/>
      <c r="H47" s="76">
        <f t="shared" si="4"/>
        <v>0</v>
      </c>
    </row>
    <row r="48" spans="1:8" x14ac:dyDescent="0.25">
      <c r="E48" s="74" t="s">
        <v>248</v>
      </c>
      <c r="F48" s="75">
        <v>30</v>
      </c>
      <c r="G48" s="41"/>
      <c r="H48" s="76">
        <f t="shared" si="4"/>
        <v>0</v>
      </c>
    </row>
    <row r="49" spans="5:8" x14ac:dyDescent="0.25">
      <c r="E49" s="74" t="s">
        <v>249</v>
      </c>
      <c r="F49" s="75">
        <v>30</v>
      </c>
      <c r="G49" s="41"/>
      <c r="H49" s="76">
        <f t="shared" si="4"/>
        <v>0</v>
      </c>
    </row>
    <row r="50" spans="5:8" x14ac:dyDescent="0.25">
      <c r="E50" s="74" t="s">
        <v>246</v>
      </c>
      <c r="F50" s="75">
        <v>25</v>
      </c>
      <c r="G50" s="41"/>
      <c r="H50" s="76">
        <f t="shared" si="4"/>
        <v>0</v>
      </c>
    </row>
    <row r="51" spans="5:8" x14ac:dyDescent="0.25">
      <c r="G51" s="1" t="s">
        <v>155</v>
      </c>
      <c r="H51" s="14">
        <f>SUM(H33:H50)</f>
        <v>4330</v>
      </c>
    </row>
    <row r="54" spans="5:8" x14ac:dyDescent="0.25">
      <c r="E54" s="58" t="s">
        <v>267</v>
      </c>
      <c r="F54" s="58" t="s">
        <v>126</v>
      </c>
      <c r="G54" s="58" t="s">
        <v>198</v>
      </c>
      <c r="H54" s="58" t="s">
        <v>155</v>
      </c>
    </row>
    <row r="55" spans="5:8" x14ac:dyDescent="0.25">
      <c r="E55" s="60" t="s">
        <v>270</v>
      </c>
      <c r="F55" s="41">
        <v>500</v>
      </c>
      <c r="G55" s="41"/>
      <c r="H55" s="62">
        <f>F55*G55</f>
        <v>0</v>
      </c>
    </row>
    <row r="56" spans="5:8" x14ac:dyDescent="0.25">
      <c r="E56" s="60" t="s">
        <v>271</v>
      </c>
      <c r="F56" s="41"/>
      <c r="G56" s="41"/>
      <c r="H56" s="62">
        <f t="shared" ref="H56:H70" si="5">F56*G56</f>
        <v>0</v>
      </c>
    </row>
    <row r="57" spans="5:8" x14ac:dyDescent="0.25">
      <c r="E57" s="60" t="s">
        <v>272</v>
      </c>
      <c r="F57" s="41"/>
      <c r="G57" s="41"/>
      <c r="H57" s="62">
        <f t="shared" si="5"/>
        <v>0</v>
      </c>
    </row>
    <row r="58" spans="5:8" x14ac:dyDescent="0.25">
      <c r="E58" s="60"/>
      <c r="F58" s="41"/>
      <c r="G58" s="41"/>
      <c r="H58" s="62">
        <f t="shared" si="5"/>
        <v>0</v>
      </c>
    </row>
    <row r="59" spans="5:8" x14ac:dyDescent="0.25">
      <c r="E59" s="60"/>
      <c r="F59" s="41"/>
      <c r="G59" s="41"/>
      <c r="H59" s="62">
        <f t="shared" si="5"/>
        <v>0</v>
      </c>
    </row>
    <row r="60" spans="5:8" x14ac:dyDescent="0.25">
      <c r="E60" s="60"/>
      <c r="F60" s="41"/>
      <c r="G60" s="41"/>
      <c r="H60" s="62">
        <f t="shared" si="5"/>
        <v>0</v>
      </c>
    </row>
    <row r="61" spans="5:8" x14ac:dyDescent="0.25">
      <c r="E61" s="60"/>
      <c r="F61" s="41"/>
      <c r="G61" s="41"/>
      <c r="H61" s="62">
        <f t="shared" si="5"/>
        <v>0</v>
      </c>
    </row>
    <row r="62" spans="5:8" x14ac:dyDescent="0.25">
      <c r="E62" s="60"/>
      <c r="F62" s="41"/>
      <c r="G62" s="41"/>
      <c r="H62" s="62">
        <f t="shared" si="5"/>
        <v>0</v>
      </c>
    </row>
    <row r="63" spans="5:8" x14ac:dyDescent="0.25">
      <c r="E63" s="60"/>
      <c r="F63" s="41"/>
      <c r="G63" s="41"/>
      <c r="H63" s="62">
        <f t="shared" si="5"/>
        <v>0</v>
      </c>
    </row>
    <row r="64" spans="5:8" x14ac:dyDescent="0.25">
      <c r="E64" s="60"/>
      <c r="F64" s="41"/>
      <c r="G64" s="41"/>
      <c r="H64" s="62">
        <f t="shared" si="5"/>
        <v>0</v>
      </c>
    </row>
    <row r="65" spans="5:8" x14ac:dyDescent="0.25">
      <c r="E65" s="60"/>
      <c r="F65" s="41"/>
      <c r="G65" s="41"/>
      <c r="H65" s="62">
        <f t="shared" si="5"/>
        <v>0</v>
      </c>
    </row>
    <row r="66" spans="5:8" x14ac:dyDescent="0.25">
      <c r="E66" s="60"/>
      <c r="F66" s="41"/>
      <c r="G66" s="41"/>
      <c r="H66" s="62">
        <f t="shared" si="5"/>
        <v>0</v>
      </c>
    </row>
    <row r="67" spans="5:8" x14ac:dyDescent="0.25">
      <c r="E67" s="60"/>
      <c r="F67" s="41"/>
      <c r="G67" s="41"/>
      <c r="H67" s="62">
        <f t="shared" si="5"/>
        <v>0</v>
      </c>
    </row>
    <row r="68" spans="5:8" x14ac:dyDescent="0.25">
      <c r="E68" s="60"/>
      <c r="F68" s="41"/>
      <c r="G68" s="41"/>
      <c r="H68" s="62">
        <f t="shared" si="5"/>
        <v>0</v>
      </c>
    </row>
    <row r="69" spans="5:8" x14ac:dyDescent="0.25">
      <c r="E69" s="60"/>
      <c r="F69" s="41"/>
      <c r="G69" s="41"/>
      <c r="H69" s="62">
        <f t="shared" si="5"/>
        <v>0</v>
      </c>
    </row>
    <row r="70" spans="5:8" x14ac:dyDescent="0.25">
      <c r="E70" s="60"/>
      <c r="F70" s="41"/>
      <c r="G70" s="41"/>
      <c r="H70" s="62">
        <f t="shared" si="5"/>
        <v>0</v>
      </c>
    </row>
    <row r="71" spans="5:8" x14ac:dyDescent="0.25">
      <c r="G71" s="2" t="s">
        <v>155</v>
      </c>
      <c r="H71" s="68">
        <f>SUM(H55:H70)</f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0A81-2715-489B-A888-81A9FF2AEA25}">
  <dimension ref="A1:AB349"/>
  <sheetViews>
    <sheetView topLeftCell="A12" zoomScale="99" zoomScaleNormal="99" workbookViewId="0">
      <selection activeCell="B23" sqref="B23"/>
    </sheetView>
  </sheetViews>
  <sheetFormatPr defaultColWidth="12.42578125" defaultRowHeight="15" x14ac:dyDescent="0.25"/>
  <cols>
    <col min="1" max="1" width="27.42578125" style="4" customWidth="1"/>
    <col min="2" max="2" width="29.42578125" style="4" customWidth="1"/>
    <col min="3" max="4" width="18.42578125" customWidth="1"/>
    <col min="5" max="5" width="12.42578125" customWidth="1"/>
    <col min="6" max="6" width="16.42578125" customWidth="1"/>
    <col min="7" max="7" width="17" style="2" customWidth="1"/>
    <col min="8" max="8" width="11.85546875" style="3" customWidth="1"/>
    <col min="9" max="10" width="10" style="4" customWidth="1"/>
    <col min="11" max="11" width="14.42578125" customWidth="1"/>
    <col min="12" max="13" width="13.85546875" customWidth="1"/>
    <col min="14" max="14" width="15.5703125" customWidth="1"/>
    <col min="15" max="15" width="13.42578125" customWidth="1"/>
    <col min="16" max="16" width="13.42578125" style="2" customWidth="1"/>
    <col min="17" max="17" width="11.5703125" customWidth="1"/>
    <col min="18" max="18" width="10.140625" customWidth="1"/>
    <col min="19" max="19" width="9.42578125" style="2" customWidth="1"/>
    <col min="20" max="20" width="18.85546875" style="4" customWidth="1"/>
    <col min="21" max="21" width="22.42578125" style="4" customWidth="1"/>
    <col min="22" max="22" width="19.140625" style="4" customWidth="1"/>
    <col min="23" max="23" width="18" customWidth="1"/>
    <col min="24" max="24" width="18.85546875" customWidth="1"/>
    <col min="25" max="25" width="24.42578125" customWidth="1"/>
    <col min="26" max="26" width="21.5703125" customWidth="1"/>
    <col min="27" max="27" width="12.42578125" customWidth="1"/>
    <col min="28" max="28" width="10.5703125" customWidth="1"/>
  </cols>
  <sheetData>
    <row r="1" spans="1:28" x14ac:dyDescent="0.25">
      <c r="A1" s="13" t="s">
        <v>74</v>
      </c>
    </row>
    <row r="2" spans="1:28" x14ac:dyDescent="0.25">
      <c r="C2" s="1" t="s">
        <v>186</v>
      </c>
    </row>
    <row r="3" spans="1:28" x14ac:dyDescent="0.25">
      <c r="A3" s="13" t="s">
        <v>106</v>
      </c>
      <c r="B3" s="13" t="s">
        <v>79</v>
      </c>
      <c r="C3" s="1" t="s">
        <v>187</v>
      </c>
    </row>
    <row r="4" spans="1:28" x14ac:dyDescent="0.25">
      <c r="A4" s="13" t="s">
        <v>75</v>
      </c>
      <c r="B4" s="4" t="s">
        <v>590</v>
      </c>
      <c r="C4" s="25" t="s">
        <v>188</v>
      </c>
      <c r="Q4" s="1" t="s">
        <v>75</v>
      </c>
      <c r="Z4" t="s">
        <v>569</v>
      </c>
    </row>
    <row r="5" spans="1:28" ht="15.75" x14ac:dyDescent="0.25">
      <c r="G5" s="5" t="s">
        <v>0</v>
      </c>
    </row>
    <row r="6" spans="1:28" ht="15.75" x14ac:dyDescent="0.25">
      <c r="A6" s="13" t="s">
        <v>1</v>
      </c>
      <c r="B6" s="16" t="s">
        <v>2</v>
      </c>
      <c r="G6" s="6"/>
      <c r="H6" s="7" t="s">
        <v>3</v>
      </c>
      <c r="K6" s="8"/>
      <c r="L6" s="8"/>
      <c r="M6" s="8" t="s">
        <v>185</v>
      </c>
      <c r="N6" s="8"/>
      <c r="O6" s="8"/>
      <c r="P6" s="6"/>
      <c r="Q6" s="1" t="s">
        <v>56</v>
      </c>
      <c r="R6" s="1" t="s">
        <v>55</v>
      </c>
      <c r="S6" s="12" t="s">
        <v>57</v>
      </c>
      <c r="T6" s="13" t="s">
        <v>58</v>
      </c>
      <c r="U6" s="13" t="s">
        <v>59</v>
      </c>
      <c r="V6" s="13" t="s">
        <v>61</v>
      </c>
      <c r="W6" s="13" t="s">
        <v>62</v>
      </c>
      <c r="X6" s="13" t="s">
        <v>63</v>
      </c>
      <c r="Y6" s="4"/>
      <c r="Z6" s="13" t="s">
        <v>565</v>
      </c>
      <c r="AA6" s="13" t="s">
        <v>198</v>
      </c>
      <c r="AB6" s="13" t="s">
        <v>209</v>
      </c>
    </row>
    <row r="7" spans="1:28" x14ac:dyDescent="0.25">
      <c r="A7" s="17" t="s">
        <v>4</v>
      </c>
      <c r="B7" s="17"/>
      <c r="G7" s="2" t="s">
        <v>5</v>
      </c>
      <c r="H7" s="3">
        <f>(((B7*2)+(B8*4)+(B11*2)+(B12*4))+((B21*C21)*2)+(B14)+(B23))*1.1</f>
        <v>1553.2</v>
      </c>
      <c r="L7" s="28" t="s">
        <v>38</v>
      </c>
      <c r="M7" s="29">
        <v>4.0999999999999996</v>
      </c>
      <c r="N7" s="29"/>
      <c r="O7" s="29"/>
      <c r="P7" s="23" t="s">
        <v>86</v>
      </c>
      <c r="Q7" s="11">
        <f>H7*$M$7</f>
        <v>6368.12</v>
      </c>
      <c r="R7" s="11">
        <f>H7*$M$7</f>
        <v>6368.12</v>
      </c>
      <c r="S7" s="11">
        <f>H7*$M$7</f>
        <v>6368.12</v>
      </c>
      <c r="T7" s="11">
        <f>H7*$M$7</f>
        <v>6368.12</v>
      </c>
      <c r="U7" s="11">
        <f>H7*($M$7/2)+(H7*$M$25/2)</f>
        <v>12114.96</v>
      </c>
      <c r="V7" s="11">
        <f>H7*($M$7/2)+(H7*$M$25/2)</f>
        <v>12114.96</v>
      </c>
      <c r="W7" s="11">
        <f>H7*($M$7/2)+(H7*$M$25/2)</f>
        <v>12114.96</v>
      </c>
      <c r="X7" s="11">
        <f>H7*($M$7/2)+(H7*$M$25/2)</f>
        <v>12114.96</v>
      </c>
      <c r="Y7" s="4" t="s">
        <v>4</v>
      </c>
      <c r="Z7">
        <v>27.9</v>
      </c>
      <c r="AA7">
        <f>B7</f>
        <v>0</v>
      </c>
      <c r="AB7">
        <f>Z7*AA7</f>
        <v>0</v>
      </c>
    </row>
    <row r="8" spans="1:28" x14ac:dyDescent="0.25">
      <c r="A8" s="17" t="s">
        <v>6</v>
      </c>
      <c r="B8" s="17">
        <v>335</v>
      </c>
      <c r="G8" s="2" t="s">
        <v>7</v>
      </c>
      <c r="H8" s="3">
        <f>(((B7+B8+(B11*2)+(B12*2))*1.667)+(B21*1.667*C21))*1.1</f>
        <v>680.30270000000007</v>
      </c>
      <c r="I8" s="4" t="s">
        <v>8</v>
      </c>
      <c r="L8" s="28" t="s">
        <v>37</v>
      </c>
      <c r="M8" s="29">
        <v>3.1</v>
      </c>
      <c r="N8" s="29"/>
      <c r="O8" s="29"/>
      <c r="P8" s="23" t="s">
        <v>87</v>
      </c>
      <c r="Q8" s="11">
        <f>H8*$M$10</f>
        <v>1020.4540500000001</v>
      </c>
      <c r="R8" s="11">
        <f>H8*$M$13</f>
        <v>1224.5448600000002</v>
      </c>
      <c r="S8" s="11">
        <f>H8*$M$19</f>
        <v>1292.5751300000002</v>
      </c>
      <c r="T8" s="11">
        <f>H8*$M$21</f>
        <v>1428.6356700000001</v>
      </c>
      <c r="U8" s="11">
        <f>H8*$M$10</f>
        <v>1020.4540500000001</v>
      </c>
      <c r="V8" s="11">
        <f>H8*$M$13</f>
        <v>1224.5448600000002</v>
      </c>
      <c r="W8" s="11">
        <f>H8*$M$19</f>
        <v>1292.5751300000002</v>
      </c>
      <c r="X8" s="11">
        <f>H8*$M$21</f>
        <v>1428.6356700000001</v>
      </c>
      <c r="Y8" s="4" t="s">
        <v>6</v>
      </c>
      <c r="Z8">
        <v>37.44</v>
      </c>
      <c r="AA8">
        <f>B8</f>
        <v>335</v>
      </c>
      <c r="AB8">
        <f>Z8*AA8</f>
        <v>12542.4</v>
      </c>
    </row>
    <row r="9" spans="1:28" x14ac:dyDescent="0.25">
      <c r="B9" s="18"/>
      <c r="G9" s="2" t="s">
        <v>9</v>
      </c>
      <c r="H9" s="3">
        <f>(((B7+B8+B11+B12)*0.667)+(B21*2))*1.1</f>
        <v>311.78950000000009</v>
      </c>
      <c r="I9" s="9">
        <f>((B7+B8+B11+B12)*1.666667)*1.1</f>
        <v>614.16678950000005</v>
      </c>
      <c r="J9" s="9"/>
      <c r="L9" s="28" t="s">
        <v>39</v>
      </c>
      <c r="M9" s="29">
        <v>5</v>
      </c>
      <c r="N9" s="29"/>
      <c r="O9" s="29"/>
      <c r="P9" s="23" t="s">
        <v>88</v>
      </c>
      <c r="Q9" s="11">
        <f>H9*$M$11</f>
        <v>561.22110000000021</v>
      </c>
      <c r="R9" s="11">
        <f>H9*$M$14</f>
        <v>654.75795000000016</v>
      </c>
      <c r="S9" s="11">
        <f>H9*$M$20</f>
        <v>1371.8738000000005</v>
      </c>
      <c r="T9" s="11">
        <f>H9*$M$22</f>
        <v>1434.2317000000003</v>
      </c>
      <c r="U9" s="11">
        <f>H9*$M$11</f>
        <v>561.22110000000021</v>
      </c>
      <c r="V9" s="11">
        <f>H9*$M$14</f>
        <v>654.75795000000016</v>
      </c>
      <c r="W9" s="11">
        <f>H9*$M$20</f>
        <v>1371.8738000000005</v>
      </c>
      <c r="X9" s="11">
        <f>H9*$M$22</f>
        <v>1434.2317000000003</v>
      </c>
      <c r="Y9" s="4"/>
    </row>
    <row r="10" spans="1:28" x14ac:dyDescent="0.25">
      <c r="A10" s="13" t="s">
        <v>10</v>
      </c>
      <c r="B10" s="18"/>
      <c r="G10" s="2" t="s">
        <v>11</v>
      </c>
      <c r="H10" s="3">
        <f>(B7+B8+B11+B12)*1.1</f>
        <v>368.50000000000006</v>
      </c>
      <c r="L10" s="28" t="s">
        <v>40</v>
      </c>
      <c r="M10" s="29">
        <v>1.5</v>
      </c>
      <c r="N10" s="29"/>
      <c r="O10" s="29"/>
      <c r="P10" s="23" t="s">
        <v>89</v>
      </c>
      <c r="Q10" s="11">
        <f>+H10*$M$16</f>
        <v>1252.9000000000001</v>
      </c>
      <c r="R10" s="11">
        <f>+H10*$M$16</f>
        <v>1252.9000000000001</v>
      </c>
      <c r="S10" s="11">
        <f>+H10*$M$16</f>
        <v>1252.9000000000001</v>
      </c>
      <c r="T10" s="11">
        <f>+H10*$M$16</f>
        <v>1252.9000000000001</v>
      </c>
      <c r="U10" s="11">
        <f>+H10*$M$16</f>
        <v>1252.9000000000001</v>
      </c>
      <c r="V10" s="11">
        <f>+H10*$M$16</f>
        <v>1252.9000000000001</v>
      </c>
      <c r="W10" s="11">
        <f>+H10*$M$16</f>
        <v>1252.9000000000001</v>
      </c>
      <c r="X10" s="11">
        <f>+H10*$M$16</f>
        <v>1252.9000000000001</v>
      </c>
      <c r="Y10" s="4" t="s">
        <v>10</v>
      </c>
    </row>
    <row r="11" spans="1:28" x14ac:dyDescent="0.25">
      <c r="A11" s="17" t="s">
        <v>12</v>
      </c>
      <c r="B11" s="17"/>
      <c r="G11" s="2" t="s">
        <v>13</v>
      </c>
      <c r="H11" s="3">
        <f>(((B7+(B8*2)+B11+(B12*2))*30)+(B21*C21*30*2)+(B23*30))*1.1</f>
        <v>24486.000000000004</v>
      </c>
      <c r="I11" s="105">
        <f>H11/1000</f>
        <v>24.486000000000004</v>
      </c>
      <c r="J11" s="106">
        <f>ROUNDUP(I11,0)</f>
        <v>25</v>
      </c>
      <c r="L11" s="28" t="s">
        <v>41</v>
      </c>
      <c r="M11" s="29">
        <v>1.8</v>
      </c>
      <c r="N11" s="29"/>
      <c r="O11" s="29"/>
      <c r="P11" s="23" t="s">
        <v>93</v>
      </c>
      <c r="Q11" s="11">
        <f>$J$11*$M$30</f>
        <v>450</v>
      </c>
      <c r="R11" s="11">
        <f t="shared" ref="R11:X11" si="0">$J$11*$M$30</f>
        <v>450</v>
      </c>
      <c r="S11" s="11">
        <f t="shared" si="0"/>
        <v>450</v>
      </c>
      <c r="T11" s="11">
        <f t="shared" si="0"/>
        <v>450</v>
      </c>
      <c r="U11" s="11">
        <f t="shared" si="0"/>
        <v>450</v>
      </c>
      <c r="V11" s="11">
        <f t="shared" si="0"/>
        <v>450</v>
      </c>
      <c r="W11" s="11">
        <f t="shared" si="0"/>
        <v>450</v>
      </c>
      <c r="X11" s="11">
        <f t="shared" si="0"/>
        <v>450</v>
      </c>
      <c r="Y11" s="4" t="s">
        <v>12</v>
      </c>
      <c r="Z11">
        <v>30.96</v>
      </c>
      <c r="AA11">
        <f>B11</f>
        <v>0</v>
      </c>
      <c r="AB11">
        <f t="shared" ref="AB11:AB21" si="1">Z11*AA11</f>
        <v>0</v>
      </c>
    </row>
    <row r="12" spans="1:28" x14ac:dyDescent="0.25">
      <c r="A12" s="17" t="s">
        <v>14</v>
      </c>
      <c r="B12" s="17"/>
      <c r="G12" s="2" t="s">
        <v>15</v>
      </c>
      <c r="H12" s="3">
        <f>(H9*0.4)*1.1</f>
        <v>137.18738000000005</v>
      </c>
      <c r="L12" s="28" t="s">
        <v>42</v>
      </c>
      <c r="M12" s="29">
        <v>3.1</v>
      </c>
      <c r="N12" s="29"/>
      <c r="O12" s="29"/>
      <c r="P12" s="23" t="s">
        <v>92</v>
      </c>
      <c r="Q12" s="11">
        <f>B32*$M$26</f>
        <v>320</v>
      </c>
      <c r="R12" s="11">
        <f>B32*$M$26</f>
        <v>320</v>
      </c>
      <c r="S12" s="11">
        <f>B32*$M$26</f>
        <v>320</v>
      </c>
      <c r="T12" s="11">
        <f>B32*$M$26</f>
        <v>320</v>
      </c>
      <c r="U12" s="11">
        <f>B32*$M$26</f>
        <v>320</v>
      </c>
      <c r="V12" s="11">
        <f>B32*$M$26</f>
        <v>320</v>
      </c>
      <c r="W12" s="11">
        <f>B32*$M$26</f>
        <v>320</v>
      </c>
      <c r="X12" s="11">
        <f>B32*$M$26</f>
        <v>320</v>
      </c>
      <c r="Y12" s="4" t="s">
        <v>14</v>
      </c>
      <c r="Z12">
        <v>40.32</v>
      </c>
      <c r="AA12">
        <f>B12</f>
        <v>0</v>
      </c>
      <c r="AB12">
        <f t="shared" si="1"/>
        <v>0</v>
      </c>
    </row>
    <row r="13" spans="1:28" x14ac:dyDescent="0.25">
      <c r="B13" s="18"/>
      <c r="G13" s="2" t="s">
        <v>71</v>
      </c>
      <c r="H13" s="3">
        <f>(8*B18+B29)*1.1</f>
        <v>110.00000000000001</v>
      </c>
      <c r="L13" s="28" t="s">
        <v>43</v>
      </c>
      <c r="M13" s="29">
        <v>1.8</v>
      </c>
      <c r="N13" s="29"/>
      <c r="O13" s="29"/>
      <c r="P13" s="23" t="s">
        <v>85</v>
      </c>
      <c r="Q13" s="11">
        <f>+H13*$M$12</f>
        <v>341.00000000000006</v>
      </c>
      <c r="R13" s="11">
        <f>+H13*$M$15</f>
        <v>357.50000000000006</v>
      </c>
      <c r="S13" s="11">
        <f>+H13*$M$12</f>
        <v>341.00000000000006</v>
      </c>
      <c r="T13" s="11">
        <f>+H13*$M$12</f>
        <v>341.00000000000006</v>
      </c>
      <c r="U13" s="11">
        <f>+H13*$M$12</f>
        <v>341.00000000000006</v>
      </c>
      <c r="V13" s="11">
        <f>+H13*$M$15</f>
        <v>357.50000000000006</v>
      </c>
      <c r="W13" s="11">
        <f>+H13*$M$12</f>
        <v>341.00000000000006</v>
      </c>
      <c r="X13" s="11">
        <f>+H13*$M$12</f>
        <v>341.00000000000006</v>
      </c>
      <c r="Y13" s="4"/>
    </row>
    <row r="14" spans="1:28" x14ac:dyDescent="0.25">
      <c r="A14" s="21" t="s">
        <v>77</v>
      </c>
      <c r="B14" s="17"/>
      <c r="G14" s="2" t="s">
        <v>16</v>
      </c>
      <c r="H14" s="3">
        <f>(B18*6)</f>
        <v>0</v>
      </c>
      <c r="L14" s="28" t="s">
        <v>44</v>
      </c>
      <c r="M14" s="29">
        <v>2.1</v>
      </c>
      <c r="N14" s="29"/>
      <c r="O14" s="29"/>
      <c r="P14" s="23" t="s">
        <v>84</v>
      </c>
      <c r="Q14" s="11">
        <f>B33*$M$27</f>
        <v>100</v>
      </c>
      <c r="R14" s="11">
        <f>B33*$M$27</f>
        <v>100</v>
      </c>
      <c r="S14" s="11">
        <f>B33*$M$27</f>
        <v>100</v>
      </c>
      <c r="T14" s="11">
        <f>B33*$M$27</f>
        <v>100</v>
      </c>
      <c r="U14" s="11">
        <f>B33*$M$27</f>
        <v>100</v>
      </c>
      <c r="V14" s="11">
        <f>B33*$M$27</f>
        <v>100</v>
      </c>
      <c r="W14" s="11">
        <f>B33*$M$27</f>
        <v>100</v>
      </c>
      <c r="X14" s="11">
        <f>B33*$M$27</f>
        <v>100</v>
      </c>
      <c r="Y14" s="4" t="s">
        <v>77</v>
      </c>
      <c r="Z14">
        <v>16.2</v>
      </c>
      <c r="AA14">
        <f>B14</f>
        <v>0</v>
      </c>
      <c r="AB14">
        <f t="shared" si="1"/>
        <v>0</v>
      </c>
    </row>
    <row r="15" spans="1:28" x14ac:dyDescent="0.25">
      <c r="A15" s="21" t="s">
        <v>78</v>
      </c>
      <c r="B15" s="17"/>
      <c r="G15" s="2" t="s">
        <v>95</v>
      </c>
      <c r="H15" s="3">
        <f>H9/0.3</f>
        <v>1039.2983333333336</v>
      </c>
      <c r="L15" s="28" t="s">
        <v>45</v>
      </c>
      <c r="M15" s="29">
        <v>3.25</v>
      </c>
      <c r="N15" s="29"/>
      <c r="O15" s="29"/>
      <c r="P15" s="23" t="s">
        <v>68</v>
      </c>
      <c r="Q15" s="11">
        <f>H20*$M$28</f>
        <v>616.66666666666663</v>
      </c>
      <c r="R15" s="11">
        <f>H20*$M$28</f>
        <v>616.66666666666663</v>
      </c>
      <c r="S15" s="11">
        <f>H20*$M$28</f>
        <v>616.66666666666663</v>
      </c>
      <c r="T15" s="11">
        <f>H20*$M$28</f>
        <v>616.66666666666663</v>
      </c>
      <c r="U15" s="11">
        <f>H20*$M$28</f>
        <v>616.66666666666663</v>
      </c>
      <c r="V15" s="11">
        <f>H20*$M$28</f>
        <v>616.66666666666663</v>
      </c>
      <c r="W15" s="11">
        <f>H20*$M$28</f>
        <v>616.66666666666663</v>
      </c>
      <c r="X15" s="11">
        <f>H20*$M$28</f>
        <v>616.66666666666663</v>
      </c>
      <c r="Y15" s="4" t="s">
        <v>78</v>
      </c>
      <c r="Z15">
        <v>18</v>
      </c>
      <c r="AA15">
        <f>B15</f>
        <v>0</v>
      </c>
      <c r="AB15">
        <f t="shared" si="1"/>
        <v>0</v>
      </c>
    </row>
    <row r="16" spans="1:28" x14ac:dyDescent="0.25">
      <c r="B16" s="19"/>
      <c r="G16" s="2" t="s">
        <v>570</v>
      </c>
      <c r="H16" s="3">
        <f>B23*1.1</f>
        <v>0</v>
      </c>
      <c r="L16" s="28" t="s">
        <v>46</v>
      </c>
      <c r="M16" s="29">
        <v>3.4</v>
      </c>
      <c r="N16" s="29"/>
      <c r="O16" s="29"/>
      <c r="P16" s="23" t="s">
        <v>91</v>
      </c>
      <c r="Q16" s="11">
        <f>B15*(18*0.014)*$M$25*1.1</f>
        <v>0</v>
      </c>
      <c r="R16" s="11">
        <f>B15*$M$25*1.1</f>
        <v>0</v>
      </c>
      <c r="S16" s="11">
        <f>B15*$M$25*1.1</f>
        <v>0</v>
      </c>
      <c r="T16" s="11">
        <f>B15*$M$25*1.1</f>
        <v>0</v>
      </c>
      <c r="U16" s="11">
        <f>B15*$M$25*1.1</f>
        <v>0</v>
      </c>
      <c r="V16" s="11">
        <f>B15*$M$25*1.1</f>
        <v>0</v>
      </c>
      <c r="W16" s="11">
        <f>B15*$M$25*1.1</f>
        <v>0</v>
      </c>
      <c r="X16" s="11">
        <f>B15*$M$25*1.1</f>
        <v>0</v>
      </c>
      <c r="Y16" s="4" t="s">
        <v>567</v>
      </c>
      <c r="Z16">
        <v>18.5</v>
      </c>
      <c r="AA16">
        <f>B23</f>
        <v>0</v>
      </c>
      <c r="AB16">
        <f t="shared" si="1"/>
        <v>0</v>
      </c>
    </row>
    <row r="17" spans="1:28" ht="15.75" x14ac:dyDescent="0.25">
      <c r="B17" s="16" t="s">
        <v>18</v>
      </c>
      <c r="G17" s="6" t="s">
        <v>19</v>
      </c>
      <c r="H17" s="3" t="s">
        <v>20</v>
      </c>
      <c r="I17" s="4" t="s">
        <v>21</v>
      </c>
      <c r="L17" s="28" t="s">
        <v>47</v>
      </c>
      <c r="M17" s="29">
        <v>2.2000000000000002</v>
      </c>
      <c r="N17" s="29"/>
      <c r="O17" s="29"/>
      <c r="P17" s="23" t="s">
        <v>96</v>
      </c>
      <c r="Q17" s="11">
        <f t="shared" ref="Q17:X17" si="2">$B$34</f>
        <v>500</v>
      </c>
      <c r="R17" s="11">
        <f t="shared" si="2"/>
        <v>500</v>
      </c>
      <c r="S17" s="11">
        <f t="shared" si="2"/>
        <v>500</v>
      </c>
      <c r="T17" s="11">
        <f t="shared" si="2"/>
        <v>500</v>
      </c>
      <c r="U17" s="11">
        <f t="shared" si="2"/>
        <v>500</v>
      </c>
      <c r="V17" s="11">
        <f t="shared" si="2"/>
        <v>500</v>
      </c>
      <c r="W17" s="11">
        <f t="shared" si="2"/>
        <v>500</v>
      </c>
      <c r="X17" s="11">
        <f t="shared" si="2"/>
        <v>500</v>
      </c>
      <c r="Y17" s="4" t="s">
        <v>568</v>
      </c>
      <c r="Z17">
        <v>11.98</v>
      </c>
      <c r="AA17">
        <f>B24</f>
        <v>0</v>
      </c>
      <c r="AB17">
        <f t="shared" si="1"/>
        <v>0</v>
      </c>
    </row>
    <row r="18" spans="1:28" x14ac:dyDescent="0.25">
      <c r="A18" s="21" t="s">
        <v>22</v>
      </c>
      <c r="B18" s="17"/>
      <c r="G18" s="2" t="s">
        <v>23</v>
      </c>
      <c r="H18" s="3">
        <f>(((B7+B8+B11+B12+B23)*2)*0.25*0.3)+(B14*0.32*1.1)</f>
        <v>50.25</v>
      </c>
      <c r="I18" s="9">
        <f>H18/10</f>
        <v>5.0250000000000004</v>
      </c>
      <c r="J18" s="9"/>
      <c r="L18" s="28" t="s">
        <v>48</v>
      </c>
      <c r="M18" s="29">
        <v>2.2999999999999998</v>
      </c>
      <c r="N18" s="29"/>
      <c r="O18" s="29"/>
      <c r="P18" s="23" t="s">
        <v>23</v>
      </c>
      <c r="Q18" s="11">
        <f>+I18*$M$23</f>
        <v>143.715</v>
      </c>
      <c r="R18" s="11">
        <f>+I18*$M$23</f>
        <v>143.715</v>
      </c>
      <c r="S18" s="11">
        <f>+I18*$M$23</f>
        <v>143.715</v>
      </c>
      <c r="T18" s="11">
        <f>+I18*$M$23</f>
        <v>143.715</v>
      </c>
      <c r="U18" s="11">
        <f>+I18*$M$23</f>
        <v>143.715</v>
      </c>
      <c r="V18" s="11">
        <f>+I18*$M$23</f>
        <v>143.715</v>
      </c>
      <c r="W18" s="11">
        <f>+I18*$M$23</f>
        <v>143.715</v>
      </c>
      <c r="X18" s="11">
        <f>+I18*$M$23</f>
        <v>143.715</v>
      </c>
      <c r="Y18" s="4" t="s">
        <v>22</v>
      </c>
      <c r="Z18">
        <v>16.38</v>
      </c>
      <c r="AA18">
        <f>B18</f>
        <v>0</v>
      </c>
      <c r="AB18">
        <f t="shared" si="1"/>
        <v>0</v>
      </c>
    </row>
    <row r="19" spans="1:28" x14ac:dyDescent="0.25">
      <c r="B19" s="19"/>
      <c r="G19" s="2" t="s">
        <v>24</v>
      </c>
      <c r="H19" s="3">
        <f>(((B7+B8+B11+B12+B23)*2)*0.25*0.3)+(B14*0.32*1.1)</f>
        <v>50.25</v>
      </c>
      <c r="I19" s="9">
        <f>H19/10</f>
        <v>5.0250000000000004</v>
      </c>
      <c r="J19" s="9"/>
      <c r="L19" s="28" t="s">
        <v>49</v>
      </c>
      <c r="M19" s="29">
        <v>1.9</v>
      </c>
      <c r="N19" s="29"/>
      <c r="O19" s="29"/>
      <c r="P19" s="23" t="s">
        <v>24</v>
      </c>
      <c r="Q19" s="11">
        <f>+I19*$M$24</f>
        <v>129.29325</v>
      </c>
      <c r="R19" s="11">
        <f>+I19*$M$24</f>
        <v>129.29325</v>
      </c>
      <c r="S19" s="11">
        <f>+I19*$M$24</f>
        <v>129.29325</v>
      </c>
      <c r="T19" s="11">
        <f>+I19*$M$24</f>
        <v>129.29325</v>
      </c>
      <c r="U19" s="11">
        <f>+I19*$M$24</f>
        <v>129.29325</v>
      </c>
      <c r="V19" s="11">
        <f>+I19*$M$24</f>
        <v>129.29325</v>
      </c>
      <c r="W19" s="11">
        <f>+I19*$M$24</f>
        <v>129.29325</v>
      </c>
      <c r="X19" s="11">
        <f>+I19*$M$24</f>
        <v>129.29325</v>
      </c>
      <c r="Y19" s="4"/>
    </row>
    <row r="20" spans="1:28" x14ac:dyDescent="0.25">
      <c r="A20" s="13"/>
      <c r="B20" s="16" t="s">
        <v>25</v>
      </c>
      <c r="C20" s="1" t="s">
        <v>26</v>
      </c>
      <c r="D20" s="1"/>
      <c r="G20" s="2" t="s">
        <v>68</v>
      </c>
      <c r="H20" s="3">
        <f>B26/3</f>
        <v>166.66666666666666</v>
      </c>
      <c r="L20" s="28" t="s">
        <v>50</v>
      </c>
      <c r="M20" s="29">
        <v>4.4000000000000004</v>
      </c>
      <c r="N20" s="29"/>
      <c r="O20" s="29"/>
      <c r="P20" s="23" t="s">
        <v>570</v>
      </c>
      <c r="Q20" s="11">
        <f>$H$16*$M$29</f>
        <v>0</v>
      </c>
      <c r="R20" s="11">
        <f t="shared" ref="R20:X20" si="3">$H$16*$M$29</f>
        <v>0</v>
      </c>
      <c r="S20" s="11">
        <f t="shared" si="3"/>
        <v>0</v>
      </c>
      <c r="T20" s="11">
        <f t="shared" si="3"/>
        <v>0</v>
      </c>
      <c r="U20" s="11">
        <f t="shared" si="3"/>
        <v>0</v>
      </c>
      <c r="V20" s="11">
        <f t="shared" si="3"/>
        <v>0</v>
      </c>
      <c r="W20" s="11">
        <f t="shared" si="3"/>
        <v>0</v>
      </c>
      <c r="X20" s="11">
        <f t="shared" si="3"/>
        <v>0</v>
      </c>
      <c r="Y20" s="4"/>
    </row>
    <row r="21" spans="1:28" ht="15.75" x14ac:dyDescent="0.25">
      <c r="A21" s="21" t="s">
        <v>94</v>
      </c>
      <c r="B21" s="17">
        <v>30</v>
      </c>
      <c r="C21" s="15">
        <v>1.2</v>
      </c>
      <c r="G21" s="6" t="s">
        <v>27</v>
      </c>
      <c r="H21" s="3" t="s">
        <v>28</v>
      </c>
      <c r="I21" s="4" t="s">
        <v>29</v>
      </c>
      <c r="L21" s="28" t="s">
        <v>51</v>
      </c>
      <c r="M21" s="29">
        <v>2.1</v>
      </c>
      <c r="N21" s="29"/>
      <c r="O21" s="29"/>
      <c r="P21" s="23"/>
      <c r="Y21" s="4" t="s">
        <v>94</v>
      </c>
      <c r="Z21">
        <v>37.44</v>
      </c>
      <c r="AA21">
        <f>B21</f>
        <v>30</v>
      </c>
      <c r="AB21">
        <f t="shared" si="1"/>
        <v>1123.1999999999998</v>
      </c>
    </row>
    <row r="22" spans="1:28" x14ac:dyDescent="0.25">
      <c r="B22" s="18"/>
      <c r="C22" s="1"/>
      <c r="G22" s="2" t="s">
        <v>30</v>
      </c>
      <c r="H22" s="3">
        <f>(B7+B8+B11+B12)*2*2.4</f>
        <v>1608</v>
      </c>
      <c r="I22" s="4">
        <f>H22/20</f>
        <v>80.400000000000006</v>
      </c>
      <c r="L22" s="28" t="s">
        <v>52</v>
      </c>
      <c r="M22" s="29">
        <v>4.5999999999999996</v>
      </c>
      <c r="N22" s="29"/>
      <c r="O22" s="29"/>
      <c r="P22" s="23"/>
      <c r="Y22" s="4"/>
      <c r="AA22" s="33"/>
    </row>
    <row r="23" spans="1:28" x14ac:dyDescent="0.25">
      <c r="A23" s="21" t="s">
        <v>567</v>
      </c>
      <c r="B23" s="17"/>
      <c r="G23" s="2" t="s">
        <v>31</v>
      </c>
      <c r="H23" s="3">
        <f>(B7+B8+B11+B12)*2*2.4</f>
        <v>1608</v>
      </c>
      <c r="I23" s="4">
        <f>H23/20</f>
        <v>80.400000000000006</v>
      </c>
      <c r="L23" s="28" t="s">
        <v>53</v>
      </c>
      <c r="M23" s="29">
        <v>28.6</v>
      </c>
      <c r="N23" s="29"/>
      <c r="O23" s="29"/>
      <c r="P23" s="23"/>
      <c r="Y23" s="4" t="s">
        <v>567</v>
      </c>
    </row>
    <row r="24" spans="1:28" x14ac:dyDescent="0.25">
      <c r="A24" s="21" t="s">
        <v>568</v>
      </c>
      <c r="B24" s="17"/>
      <c r="G24" s="2" t="s">
        <v>32</v>
      </c>
      <c r="H24" s="3">
        <f>(B7+B8+B11+B12)*2*0.6</f>
        <v>402</v>
      </c>
      <c r="I24" s="4">
        <f>H24/10</f>
        <v>40.200000000000003</v>
      </c>
      <c r="L24" s="28" t="s">
        <v>54</v>
      </c>
      <c r="M24" s="29">
        <v>25.73</v>
      </c>
      <c r="N24" s="29"/>
      <c r="O24" s="29"/>
      <c r="P24" s="23"/>
      <c r="Y24" s="4" t="s">
        <v>568</v>
      </c>
      <c r="AA24">
        <f>B26</f>
        <v>500</v>
      </c>
    </row>
    <row r="25" spans="1:28" x14ac:dyDescent="0.25">
      <c r="B25" s="20" t="s">
        <v>69</v>
      </c>
      <c r="L25" s="28" t="s">
        <v>60</v>
      </c>
      <c r="M25" s="29">
        <v>11.5</v>
      </c>
      <c r="N25" s="29"/>
      <c r="O25" s="29"/>
      <c r="P25" s="23"/>
      <c r="Y25" s="4"/>
    </row>
    <row r="26" spans="1:28" ht="15.75" x14ac:dyDescent="0.25">
      <c r="A26" s="21" t="s">
        <v>68</v>
      </c>
      <c r="B26" s="17">
        <v>500</v>
      </c>
      <c r="G26" s="6"/>
      <c r="L26" s="28" t="s">
        <v>64</v>
      </c>
      <c r="M26" s="29">
        <v>80</v>
      </c>
      <c r="N26" s="29"/>
      <c r="O26" s="29"/>
      <c r="P26" s="23"/>
      <c r="Y26" s="4" t="s">
        <v>68</v>
      </c>
    </row>
    <row r="27" spans="1:28" x14ac:dyDescent="0.25">
      <c r="A27" s="22" t="s">
        <v>73</v>
      </c>
      <c r="B27" s="18"/>
      <c r="L27" s="28" t="s">
        <v>65</v>
      </c>
      <c r="M27" s="29">
        <v>20</v>
      </c>
      <c r="N27" s="29"/>
      <c r="O27" s="29"/>
      <c r="P27" s="23"/>
      <c r="Y27" s="22" t="s">
        <v>73</v>
      </c>
    </row>
    <row r="28" spans="1:28" x14ac:dyDescent="0.25">
      <c r="B28" s="20" t="s">
        <v>69</v>
      </c>
      <c r="I28" s="9"/>
      <c r="J28" s="9"/>
      <c r="L28" s="28" t="s">
        <v>68</v>
      </c>
      <c r="M28" s="29">
        <v>3.7</v>
      </c>
      <c r="N28" s="29"/>
      <c r="O28" s="29"/>
      <c r="P28" s="23"/>
      <c r="Y28" s="4"/>
    </row>
    <row r="29" spans="1:28" x14ac:dyDescent="0.25">
      <c r="A29" s="21" t="s">
        <v>70</v>
      </c>
      <c r="B29" s="17">
        <v>100</v>
      </c>
      <c r="I29" s="9"/>
      <c r="J29" s="9"/>
      <c r="L29" s="28" t="s">
        <v>571</v>
      </c>
      <c r="M29" s="29">
        <v>15.5</v>
      </c>
      <c r="N29" s="29"/>
      <c r="O29" s="29"/>
      <c r="Y29" s="4" t="s">
        <v>70</v>
      </c>
      <c r="Z29">
        <v>1.7</v>
      </c>
      <c r="AA29">
        <f>B29</f>
        <v>100</v>
      </c>
      <c r="AB29">
        <f>Z29*AA29</f>
        <v>170</v>
      </c>
    </row>
    <row r="30" spans="1:28" x14ac:dyDescent="0.25">
      <c r="A30" s="22" t="s">
        <v>72</v>
      </c>
      <c r="B30" s="18"/>
      <c r="I30" s="9"/>
      <c r="J30" s="9"/>
      <c r="L30" s="28" t="s">
        <v>93</v>
      </c>
      <c r="M30" s="29">
        <v>18</v>
      </c>
      <c r="N30" s="29"/>
      <c r="O30" s="29"/>
      <c r="Q30" s="14">
        <f t="shared" ref="Q30:X30" si="4">SUM(Q7:Q20)</f>
        <v>11803.370066666666</v>
      </c>
      <c r="R30" s="14">
        <f t="shared" si="4"/>
        <v>12117.497726666666</v>
      </c>
      <c r="S30" s="14">
        <f t="shared" si="4"/>
        <v>12886.143846666668</v>
      </c>
      <c r="T30" s="14">
        <f t="shared" si="4"/>
        <v>13084.562286666667</v>
      </c>
      <c r="U30" s="14">
        <f t="shared" si="4"/>
        <v>17550.210066666667</v>
      </c>
      <c r="V30" s="14">
        <f t="shared" si="4"/>
        <v>17864.337726666668</v>
      </c>
      <c r="W30" s="14">
        <f t="shared" si="4"/>
        <v>18632.983846666666</v>
      </c>
      <c r="X30" s="14">
        <f t="shared" si="4"/>
        <v>18831.402286666667</v>
      </c>
      <c r="Y30" s="13"/>
    </row>
    <row r="31" spans="1:28" x14ac:dyDescent="0.25">
      <c r="B31" s="18"/>
      <c r="I31" s="9"/>
      <c r="J31" s="9"/>
      <c r="Y31" s="13"/>
      <c r="AB31">
        <f>SUM(AB7:AB29)</f>
        <v>13835.599999999999</v>
      </c>
    </row>
    <row r="32" spans="1:28" x14ac:dyDescent="0.25">
      <c r="A32" s="21" t="s">
        <v>82</v>
      </c>
      <c r="B32" s="17">
        <v>4</v>
      </c>
      <c r="C32" s="25" t="s">
        <v>83</v>
      </c>
      <c r="Q32" s="13" t="s">
        <v>56</v>
      </c>
      <c r="R32" s="11">
        <f>Q30/((100-B38)/100)</f>
        <v>11803.370066666666</v>
      </c>
      <c r="Y32" s="13"/>
    </row>
    <row r="33" spans="1:18" x14ac:dyDescent="0.25">
      <c r="A33" s="21" t="s">
        <v>84</v>
      </c>
      <c r="B33" s="17">
        <v>5</v>
      </c>
      <c r="C33" s="25" t="s">
        <v>98</v>
      </c>
      <c r="Q33" s="13" t="s">
        <v>55</v>
      </c>
      <c r="R33" s="11">
        <f>R30/((100-B38)/100)</f>
        <v>12117.497726666666</v>
      </c>
    </row>
    <row r="34" spans="1:18" x14ac:dyDescent="0.25">
      <c r="A34" s="27" t="s">
        <v>96</v>
      </c>
      <c r="B34" s="104">
        <v>500</v>
      </c>
      <c r="C34" s="26" t="s">
        <v>563</v>
      </c>
      <c r="Q34" s="13" t="s">
        <v>57</v>
      </c>
      <c r="R34" s="11">
        <f>S30/((100-B38)/100)</f>
        <v>12886.143846666668</v>
      </c>
    </row>
    <row r="35" spans="1:18" x14ac:dyDescent="0.25">
      <c r="D35" s="14"/>
      <c r="Q35" s="13" t="s">
        <v>58</v>
      </c>
      <c r="R35" s="11">
        <f>T30/((100-B38)/100)</f>
        <v>13084.562286666667</v>
      </c>
    </row>
    <row r="36" spans="1:18" x14ac:dyDescent="0.25">
      <c r="D36" s="1"/>
      <c r="Q36" s="13" t="s">
        <v>59</v>
      </c>
      <c r="R36" s="11">
        <f>U30/((100-B38)/100)</f>
        <v>17550.210066666667</v>
      </c>
    </row>
    <row r="37" spans="1:18" x14ac:dyDescent="0.25">
      <c r="A37" s="13" t="s">
        <v>66</v>
      </c>
      <c r="B37" s="13" t="s">
        <v>57</v>
      </c>
      <c r="C37" s="14">
        <f>SUMIF(Q32:Q39,B37,R32:R39)</f>
        <v>12886.143846666668</v>
      </c>
      <c r="Q37" s="13" t="s">
        <v>61</v>
      </c>
      <c r="R37" s="11">
        <f>V30/((100-B38)/100)</f>
        <v>17864.337726666668</v>
      </c>
    </row>
    <row r="38" spans="1:18" x14ac:dyDescent="0.25">
      <c r="A38" s="13" t="s">
        <v>169</v>
      </c>
      <c r="B38" s="13"/>
      <c r="C38" s="1"/>
      <c r="Q38" s="13" t="s">
        <v>62</v>
      </c>
      <c r="R38" s="11">
        <f>W30/((100-B38)/100)</f>
        <v>18632.983846666666</v>
      </c>
    </row>
    <row r="39" spans="1:18" x14ac:dyDescent="0.25">
      <c r="Q39" s="13" t="s">
        <v>63</v>
      </c>
      <c r="R39" s="11">
        <f>X30/((100-B38)/100)</f>
        <v>18831.402286666667</v>
      </c>
    </row>
    <row r="40" spans="1:18" x14ac:dyDescent="0.25">
      <c r="A40" s="13" t="s">
        <v>76</v>
      </c>
      <c r="C40" s="37">
        <f>AB31*((100+B41)/100)</f>
        <v>13835.599999999999</v>
      </c>
    </row>
    <row r="41" spans="1:18" x14ac:dyDescent="0.25">
      <c r="A41" s="13" t="s">
        <v>154</v>
      </c>
    </row>
    <row r="42" spans="1:18" x14ac:dyDescent="0.25">
      <c r="A42" s="22" t="s">
        <v>566</v>
      </c>
    </row>
    <row r="45" spans="1:18" x14ac:dyDescent="0.25">
      <c r="Q45" s="13"/>
      <c r="R45" s="11"/>
    </row>
    <row r="46" spans="1:18" x14ac:dyDescent="0.25">
      <c r="Q46" s="13"/>
      <c r="R46" s="11"/>
    </row>
    <row r="47" spans="1:18" x14ac:dyDescent="0.25">
      <c r="Q47" s="13"/>
      <c r="R47" s="11"/>
    </row>
    <row r="48" spans="1:18" x14ac:dyDescent="0.25">
      <c r="A48" s="13" t="s">
        <v>107</v>
      </c>
      <c r="B48" s="13" t="s">
        <v>79</v>
      </c>
    </row>
    <row r="49" spans="1:28" x14ac:dyDescent="0.25">
      <c r="A49" s="13" t="s">
        <v>80</v>
      </c>
      <c r="B49" s="4" t="s">
        <v>591</v>
      </c>
    </row>
    <row r="50" spans="1:28" ht="15.75" x14ac:dyDescent="0.25">
      <c r="G50" s="5" t="s">
        <v>0</v>
      </c>
    </row>
    <row r="51" spans="1:28" ht="15.75" x14ac:dyDescent="0.25">
      <c r="A51" s="13" t="s">
        <v>1</v>
      </c>
      <c r="B51" s="16" t="s">
        <v>2</v>
      </c>
      <c r="G51" s="6"/>
      <c r="H51" s="7" t="s">
        <v>3</v>
      </c>
      <c r="K51" s="8"/>
      <c r="L51" s="8"/>
      <c r="M51" s="8"/>
      <c r="N51" s="8"/>
      <c r="O51" s="8"/>
      <c r="P51" s="6"/>
      <c r="Q51" s="1" t="s">
        <v>56</v>
      </c>
      <c r="R51" s="1" t="s">
        <v>55</v>
      </c>
      <c r="S51" s="12" t="s">
        <v>57</v>
      </c>
      <c r="T51" s="13" t="s">
        <v>58</v>
      </c>
      <c r="U51" s="13" t="s">
        <v>59</v>
      </c>
      <c r="V51" s="13" t="s">
        <v>61</v>
      </c>
      <c r="W51" s="13" t="s">
        <v>62</v>
      </c>
      <c r="X51" s="13" t="s">
        <v>63</v>
      </c>
      <c r="Z51" s="13" t="s">
        <v>554</v>
      </c>
      <c r="AA51" s="13" t="s">
        <v>198</v>
      </c>
      <c r="AB51" s="13" t="s">
        <v>209</v>
      </c>
    </row>
    <row r="52" spans="1:28" x14ac:dyDescent="0.25">
      <c r="A52" s="17" t="s">
        <v>4</v>
      </c>
      <c r="B52" s="17"/>
      <c r="G52" s="2" t="s">
        <v>5</v>
      </c>
      <c r="H52" s="3">
        <f>(((B52*2)+(B53*4)+(B56*2)+(B57*4))+((B66*C66)*2)+(B59)+(B68))*1.1</f>
        <v>0</v>
      </c>
      <c r="M52" s="10"/>
      <c r="N52" s="10"/>
      <c r="O52" s="10"/>
      <c r="P52" s="23" t="s">
        <v>86</v>
      </c>
      <c r="Q52" s="11">
        <f>H52*$M$7</f>
        <v>0</v>
      </c>
      <c r="R52" s="11">
        <f>H52*$M$7</f>
        <v>0</v>
      </c>
      <c r="S52" s="11">
        <f>H52*$M$7</f>
        <v>0</v>
      </c>
      <c r="T52" s="11">
        <f>H52*$M$7</f>
        <v>0</v>
      </c>
      <c r="U52" s="11">
        <f>H52*($M$7/2)+(H52*$M$25/2)</f>
        <v>0</v>
      </c>
      <c r="V52" s="11">
        <f>H52*($M$7/2)+(H52*$M$25/2)</f>
        <v>0</v>
      </c>
      <c r="W52" s="11">
        <f>H52*($M$7/2)+(H52*$M$25/2)</f>
        <v>0</v>
      </c>
      <c r="X52" s="11">
        <f>H52*($M$7/2)+(H52*$M$25/2)</f>
        <v>0</v>
      </c>
      <c r="Y52" s="4" t="s">
        <v>4</v>
      </c>
      <c r="Z52">
        <v>27.9</v>
      </c>
      <c r="AA52">
        <f>B52</f>
        <v>0</v>
      </c>
      <c r="AB52">
        <f>Z52*AA52</f>
        <v>0</v>
      </c>
    </row>
    <row r="53" spans="1:28" x14ac:dyDescent="0.25">
      <c r="A53" s="17" t="s">
        <v>6</v>
      </c>
      <c r="B53" s="17"/>
      <c r="G53" s="2" t="s">
        <v>7</v>
      </c>
      <c r="H53" s="3">
        <f>(((B52+B53+(B56*2)+(B57*2))*1.667)+(B66*1.667*C66))*1.1</f>
        <v>0</v>
      </c>
      <c r="I53" s="4" t="s">
        <v>8</v>
      </c>
      <c r="M53" s="10"/>
      <c r="N53" s="10"/>
      <c r="O53" s="10"/>
      <c r="P53" s="23" t="s">
        <v>87</v>
      </c>
      <c r="Q53" s="11">
        <f>H53*$M$10</f>
        <v>0</v>
      </c>
      <c r="R53" s="11">
        <f>H53*$M$13</f>
        <v>0</v>
      </c>
      <c r="S53" s="11">
        <f>H53*$M$19</f>
        <v>0</v>
      </c>
      <c r="T53" s="11">
        <f>H53*$M$21</f>
        <v>0</v>
      </c>
      <c r="U53" s="11">
        <f>H53*$M$10</f>
        <v>0</v>
      </c>
      <c r="V53" s="11">
        <f>H53*$M$13</f>
        <v>0</v>
      </c>
      <c r="W53" s="11">
        <f>H53*$M$19</f>
        <v>0</v>
      </c>
      <c r="X53" s="11">
        <f>H53*$M$21</f>
        <v>0</v>
      </c>
      <c r="Y53" s="4" t="s">
        <v>6</v>
      </c>
      <c r="Z53">
        <v>37.44</v>
      </c>
      <c r="AA53">
        <f>B53</f>
        <v>0</v>
      </c>
      <c r="AB53">
        <f>Z53*AA53</f>
        <v>0</v>
      </c>
    </row>
    <row r="54" spans="1:28" x14ac:dyDescent="0.25">
      <c r="B54" s="18"/>
      <c r="G54" s="2" t="s">
        <v>9</v>
      </c>
      <c r="H54" s="3">
        <f>(((B52+B53+B56+B57)*0.667)+(B66*2))*1.1</f>
        <v>0</v>
      </c>
      <c r="I54" s="9">
        <f>((B52+B53+B56+B57)*1.666667)*1.1</f>
        <v>0</v>
      </c>
      <c r="J54" s="9"/>
      <c r="M54" s="10"/>
      <c r="N54" s="10"/>
      <c r="O54" s="10"/>
      <c r="P54" s="23" t="s">
        <v>88</v>
      </c>
      <c r="Q54" s="11">
        <f>H54*$M$11</f>
        <v>0</v>
      </c>
      <c r="R54" s="11">
        <f>H54*$M$14</f>
        <v>0</v>
      </c>
      <c r="S54" s="11">
        <f>H54*$M$20</f>
        <v>0</v>
      </c>
      <c r="T54" s="11">
        <f>H54*$M$22</f>
        <v>0</v>
      </c>
      <c r="U54" s="11">
        <f>H54*$M$11</f>
        <v>0</v>
      </c>
      <c r="V54" s="11">
        <f>H54*$M$14</f>
        <v>0</v>
      </c>
      <c r="W54" s="11">
        <f>H54*$M$20</f>
        <v>0</v>
      </c>
      <c r="X54" s="11">
        <f>H54*$M$22</f>
        <v>0</v>
      </c>
      <c r="Y54" s="4"/>
    </row>
    <row r="55" spans="1:28" x14ac:dyDescent="0.25">
      <c r="A55" s="13" t="s">
        <v>10</v>
      </c>
      <c r="B55" s="18"/>
      <c r="G55" s="2" t="s">
        <v>11</v>
      </c>
      <c r="H55" s="3">
        <f>(B52+B53+B56+B57)*1.1</f>
        <v>0</v>
      </c>
      <c r="M55" s="10"/>
      <c r="N55" s="10"/>
      <c r="O55" s="10"/>
      <c r="P55" s="23" t="s">
        <v>89</v>
      </c>
      <c r="Q55" s="11">
        <f>+H55*$M$16</f>
        <v>0</v>
      </c>
      <c r="R55" s="11">
        <f>+H55*$M$16</f>
        <v>0</v>
      </c>
      <c r="S55" s="11">
        <f>+H55*$M$16</f>
        <v>0</v>
      </c>
      <c r="T55" s="11">
        <f>+H55*$M$16</f>
        <v>0</v>
      </c>
      <c r="U55" s="11">
        <f>+H55*$M$16</f>
        <v>0</v>
      </c>
      <c r="V55" s="11">
        <f>+H55*$M$16</f>
        <v>0</v>
      </c>
      <c r="W55" s="11">
        <f>+H55*$M$16</f>
        <v>0</v>
      </c>
      <c r="X55" s="11">
        <f>+H55*$M$16</f>
        <v>0</v>
      </c>
      <c r="Y55" s="4" t="s">
        <v>10</v>
      </c>
    </row>
    <row r="56" spans="1:28" x14ac:dyDescent="0.25">
      <c r="A56" s="17" t="s">
        <v>12</v>
      </c>
      <c r="B56" s="17"/>
      <c r="G56" s="2" t="s">
        <v>13</v>
      </c>
      <c r="H56" s="3">
        <f>(((B52+(B53*2)+B56+(B57*2))*30)+(B66*C66*30*2)+(B68*30))*1.1</f>
        <v>0</v>
      </c>
      <c r="I56" s="105">
        <f>H56/1000</f>
        <v>0</v>
      </c>
      <c r="J56" s="106">
        <f>ROUNDUP(I56,0)</f>
        <v>0</v>
      </c>
      <c r="M56" s="10"/>
      <c r="N56" s="10"/>
      <c r="O56" s="10"/>
      <c r="P56" s="23" t="s">
        <v>90</v>
      </c>
      <c r="Q56" s="11">
        <f>$J$56*$M$30</f>
        <v>0</v>
      </c>
      <c r="R56" s="11">
        <f t="shared" ref="R56:X56" si="5">$J$56*$M$30</f>
        <v>0</v>
      </c>
      <c r="S56" s="11">
        <f t="shared" si="5"/>
        <v>0</v>
      </c>
      <c r="T56" s="11">
        <f t="shared" si="5"/>
        <v>0</v>
      </c>
      <c r="U56" s="11">
        <f t="shared" si="5"/>
        <v>0</v>
      </c>
      <c r="V56" s="11">
        <f t="shared" si="5"/>
        <v>0</v>
      </c>
      <c r="W56" s="11">
        <f t="shared" si="5"/>
        <v>0</v>
      </c>
      <c r="X56" s="11">
        <f t="shared" si="5"/>
        <v>0</v>
      </c>
      <c r="Y56" s="4" t="s">
        <v>12</v>
      </c>
      <c r="Z56">
        <v>30.96</v>
      </c>
      <c r="AA56">
        <f>B56</f>
        <v>0</v>
      </c>
      <c r="AB56">
        <f t="shared" ref="AB56:AB57" si="6">Z56*AA56</f>
        <v>0</v>
      </c>
    </row>
    <row r="57" spans="1:28" x14ac:dyDescent="0.25">
      <c r="A57" s="17" t="s">
        <v>14</v>
      </c>
      <c r="B57" s="17"/>
      <c r="G57" s="2" t="s">
        <v>15</v>
      </c>
      <c r="H57" s="3">
        <f>(H54*0.4)*1.1</f>
        <v>0</v>
      </c>
      <c r="M57" s="10"/>
      <c r="N57" s="10"/>
      <c r="O57" s="10"/>
      <c r="P57" s="23" t="s">
        <v>92</v>
      </c>
      <c r="Q57" s="11">
        <f>B77*$M$26</f>
        <v>0</v>
      </c>
      <c r="R57" s="11">
        <f>B77*$M$26</f>
        <v>0</v>
      </c>
      <c r="S57" s="11">
        <f>B77*$M$26</f>
        <v>0</v>
      </c>
      <c r="T57" s="11">
        <f>B77*$M$26</f>
        <v>0</v>
      </c>
      <c r="U57" s="11">
        <f>B77*$M$26</f>
        <v>0</v>
      </c>
      <c r="V57" s="11">
        <f>B77*$M$26</f>
        <v>0</v>
      </c>
      <c r="W57" s="11">
        <f>B77*$M$26</f>
        <v>0</v>
      </c>
      <c r="X57" s="11">
        <f>B77*$M$26</f>
        <v>0</v>
      </c>
      <c r="Y57" s="4" t="s">
        <v>14</v>
      </c>
      <c r="Z57">
        <v>40.32</v>
      </c>
      <c r="AA57">
        <f>B57</f>
        <v>0</v>
      </c>
      <c r="AB57">
        <f t="shared" si="6"/>
        <v>0</v>
      </c>
    </row>
    <row r="58" spans="1:28" x14ac:dyDescent="0.25">
      <c r="B58" s="18"/>
      <c r="G58" s="2" t="s">
        <v>71</v>
      </c>
      <c r="H58" s="3">
        <f>(8*B63+B74)*1.1</f>
        <v>0</v>
      </c>
      <c r="M58" s="10"/>
      <c r="N58" s="10"/>
      <c r="O58" s="10"/>
      <c r="P58" s="23" t="s">
        <v>85</v>
      </c>
      <c r="Q58" s="11">
        <f>+H58*$M$12</f>
        <v>0</v>
      </c>
      <c r="R58" s="11">
        <f>+H58*$M$15</f>
        <v>0</v>
      </c>
      <c r="S58" s="11">
        <f>+H58*$M$12</f>
        <v>0</v>
      </c>
      <c r="T58" s="11">
        <f>+H58*$M$12</f>
        <v>0</v>
      </c>
      <c r="U58" s="11">
        <f>+H58*$M$12</f>
        <v>0</v>
      </c>
      <c r="V58" s="11">
        <f>+H58*$M$15</f>
        <v>0</v>
      </c>
      <c r="W58" s="11">
        <f>+H58*$M$12</f>
        <v>0</v>
      </c>
      <c r="X58" s="11">
        <f>+H58*$M$12</f>
        <v>0</v>
      </c>
      <c r="Y58" s="4"/>
    </row>
    <row r="59" spans="1:28" x14ac:dyDescent="0.25">
      <c r="A59" s="21" t="s">
        <v>77</v>
      </c>
      <c r="B59" s="17"/>
      <c r="G59" s="2" t="s">
        <v>16</v>
      </c>
      <c r="H59" s="3">
        <f>(B63*6)</f>
        <v>0</v>
      </c>
      <c r="M59" s="10"/>
      <c r="N59" s="10"/>
      <c r="O59" s="10"/>
      <c r="P59" s="23" t="s">
        <v>84</v>
      </c>
      <c r="Q59" s="11">
        <f>B78*$M$27</f>
        <v>0</v>
      </c>
      <c r="R59" s="11">
        <f>B78*$M$27</f>
        <v>0</v>
      </c>
      <c r="S59" s="11">
        <f>B78*$M$27</f>
        <v>0</v>
      </c>
      <c r="T59" s="11">
        <f>B78*$M$27</f>
        <v>0</v>
      </c>
      <c r="U59" s="11">
        <f>B78*$M$27</f>
        <v>0</v>
      </c>
      <c r="V59" s="11">
        <f>B78*$M$27</f>
        <v>0</v>
      </c>
      <c r="W59" s="11">
        <f>B78*$M$27</f>
        <v>0</v>
      </c>
      <c r="X59" s="11">
        <f>B78*$M$27</f>
        <v>0</v>
      </c>
      <c r="Y59" s="4" t="s">
        <v>77</v>
      </c>
      <c r="Z59">
        <v>16.2</v>
      </c>
      <c r="AA59">
        <f>B59</f>
        <v>0</v>
      </c>
      <c r="AB59">
        <f t="shared" ref="AB59:AB63" si="7">Z59*AA59</f>
        <v>0</v>
      </c>
    </row>
    <row r="60" spans="1:28" x14ac:dyDescent="0.25">
      <c r="A60" s="21" t="s">
        <v>78</v>
      </c>
      <c r="B60" s="17"/>
      <c r="G60" s="2" t="s">
        <v>17</v>
      </c>
      <c r="H60" s="3">
        <f>H54/0.3</f>
        <v>0</v>
      </c>
      <c r="M60" s="10"/>
      <c r="N60" s="10"/>
      <c r="O60" s="10"/>
      <c r="P60" s="23" t="s">
        <v>68</v>
      </c>
      <c r="Q60" s="11">
        <f>H65*$M$28</f>
        <v>0</v>
      </c>
      <c r="R60" s="11">
        <f>H65*$M$28</f>
        <v>0</v>
      </c>
      <c r="S60" s="11">
        <f>H65*$M$28</f>
        <v>0</v>
      </c>
      <c r="T60" s="11">
        <f>H65*$M$28</f>
        <v>0</v>
      </c>
      <c r="U60" s="11">
        <f>H65*$M$28</f>
        <v>0</v>
      </c>
      <c r="V60" s="11">
        <f>H65*$M$28</f>
        <v>0</v>
      </c>
      <c r="W60" s="11">
        <f>H65*$M$28</f>
        <v>0</v>
      </c>
      <c r="X60" s="11">
        <f>H65*$M$28</f>
        <v>0</v>
      </c>
      <c r="Y60" s="4" t="s">
        <v>78</v>
      </c>
      <c r="Z60">
        <v>18</v>
      </c>
      <c r="AA60">
        <f>B60</f>
        <v>0</v>
      </c>
      <c r="AB60">
        <f t="shared" si="7"/>
        <v>0</v>
      </c>
    </row>
    <row r="61" spans="1:28" x14ac:dyDescent="0.25">
      <c r="B61" s="19"/>
      <c r="G61" s="2" t="s">
        <v>570</v>
      </c>
      <c r="H61" s="3">
        <f>B68*1.1</f>
        <v>0</v>
      </c>
      <c r="M61" s="10"/>
      <c r="N61" s="10"/>
      <c r="O61" s="10"/>
      <c r="P61" s="23" t="s">
        <v>91</v>
      </c>
      <c r="Q61" s="11">
        <f>B60*(18*0.014)*$M$25*1.1</f>
        <v>0</v>
      </c>
      <c r="R61" s="11">
        <f>B60*$M$25*1.1</f>
        <v>0</v>
      </c>
      <c r="S61" s="11">
        <f>B60*$M$25*1.1</f>
        <v>0</v>
      </c>
      <c r="T61" s="11">
        <f>B60*$M$25*1.1</f>
        <v>0</v>
      </c>
      <c r="U61" s="11">
        <f>B60*$M$25*1.1</f>
        <v>0</v>
      </c>
      <c r="V61" s="11">
        <f>B60*$M$25*1.1</f>
        <v>0</v>
      </c>
      <c r="W61" s="11">
        <f>B60*$M$25*1.1</f>
        <v>0</v>
      </c>
      <c r="X61" s="11">
        <f>B60*$M$25*1.1</f>
        <v>0</v>
      </c>
      <c r="Y61" s="4" t="s">
        <v>567</v>
      </c>
      <c r="Z61">
        <v>18.5</v>
      </c>
      <c r="AA61">
        <f>B68</f>
        <v>0</v>
      </c>
      <c r="AB61">
        <f t="shared" si="7"/>
        <v>0</v>
      </c>
    </row>
    <row r="62" spans="1:28" ht="15.75" x14ac:dyDescent="0.25">
      <c r="B62" s="16" t="s">
        <v>18</v>
      </c>
      <c r="G62" s="6" t="s">
        <v>19</v>
      </c>
      <c r="H62" s="3" t="s">
        <v>20</v>
      </c>
      <c r="I62" s="4" t="s">
        <v>21</v>
      </c>
      <c r="M62" s="10"/>
      <c r="N62" s="10"/>
      <c r="O62" s="10"/>
      <c r="P62" s="23" t="s">
        <v>96</v>
      </c>
      <c r="Q62" s="11">
        <f>$B$79</f>
        <v>0</v>
      </c>
      <c r="R62" s="11">
        <f t="shared" ref="R62:X62" si="8">$B$79</f>
        <v>0</v>
      </c>
      <c r="S62" s="11">
        <f t="shared" si="8"/>
        <v>0</v>
      </c>
      <c r="T62" s="11">
        <f t="shared" si="8"/>
        <v>0</v>
      </c>
      <c r="U62" s="11">
        <f t="shared" si="8"/>
        <v>0</v>
      </c>
      <c r="V62" s="11">
        <f t="shared" si="8"/>
        <v>0</v>
      </c>
      <c r="W62" s="11">
        <f t="shared" si="8"/>
        <v>0</v>
      </c>
      <c r="X62" s="11">
        <f t="shared" si="8"/>
        <v>0</v>
      </c>
      <c r="Y62" s="4" t="s">
        <v>568</v>
      </c>
      <c r="Z62">
        <v>11.98</v>
      </c>
      <c r="AA62">
        <f>B69</f>
        <v>0</v>
      </c>
      <c r="AB62">
        <f t="shared" si="7"/>
        <v>0</v>
      </c>
    </row>
    <row r="63" spans="1:28" x14ac:dyDescent="0.25">
      <c r="A63" s="21" t="s">
        <v>22</v>
      </c>
      <c r="B63" s="17"/>
      <c r="G63" s="2" t="s">
        <v>23</v>
      </c>
      <c r="H63" s="3">
        <f>(((B52+B53+B56+B57+B68)*2)*0.25*0.3)+(B59*0.32*1.1)</f>
        <v>0</v>
      </c>
      <c r="I63" s="9">
        <f>H63/10</f>
        <v>0</v>
      </c>
      <c r="J63" s="9"/>
      <c r="M63" s="10"/>
      <c r="N63" s="10"/>
      <c r="O63" s="10"/>
      <c r="P63" s="23" t="s">
        <v>23</v>
      </c>
      <c r="Q63" s="11">
        <f>+I63*$M$23</f>
        <v>0</v>
      </c>
      <c r="R63" s="11">
        <f>+I63*$M$23</f>
        <v>0</v>
      </c>
      <c r="S63" s="11">
        <f>+I63*$M$23</f>
        <v>0</v>
      </c>
      <c r="T63" s="11">
        <f>+I63*$M$23</f>
        <v>0</v>
      </c>
      <c r="U63" s="11">
        <f>+I63*$M$23</f>
        <v>0</v>
      </c>
      <c r="V63" s="11">
        <f>+I63*$M$23</f>
        <v>0</v>
      </c>
      <c r="W63" s="11">
        <f>+I63*$M$23</f>
        <v>0</v>
      </c>
      <c r="X63" s="11">
        <f>+I63*$M$23</f>
        <v>0</v>
      </c>
      <c r="Y63" s="4" t="s">
        <v>22</v>
      </c>
      <c r="Z63">
        <v>16.38</v>
      </c>
      <c r="AA63">
        <f>B63</f>
        <v>0</v>
      </c>
      <c r="AB63">
        <f t="shared" si="7"/>
        <v>0</v>
      </c>
    </row>
    <row r="64" spans="1:28" x14ac:dyDescent="0.25">
      <c r="B64" s="19"/>
      <c r="G64" s="2" t="s">
        <v>24</v>
      </c>
      <c r="H64" s="3">
        <f>(((B52+B53+B56+B57+B68)*2)*0.25*0.3)+(B59*0.32*1.1)</f>
        <v>0</v>
      </c>
      <c r="I64" s="9">
        <f>H64/10</f>
        <v>0</v>
      </c>
      <c r="J64" s="9"/>
      <c r="M64" s="10"/>
      <c r="N64" s="10"/>
      <c r="O64" s="10"/>
      <c r="P64" s="23" t="s">
        <v>24</v>
      </c>
      <c r="Q64" s="11">
        <f>+I64*$M$24</f>
        <v>0</v>
      </c>
      <c r="R64" s="11">
        <f>+I64*$M$24</f>
        <v>0</v>
      </c>
      <c r="S64" s="11">
        <f>+I64*$M$24</f>
        <v>0</v>
      </c>
      <c r="T64" s="11">
        <f>+I64*$M$24</f>
        <v>0</v>
      </c>
      <c r="U64" s="11">
        <f>+I64*$M$24</f>
        <v>0</v>
      </c>
      <c r="V64" s="11">
        <f>+I64*$M$24</f>
        <v>0</v>
      </c>
      <c r="W64" s="11">
        <f>+I64*$M$24</f>
        <v>0</v>
      </c>
      <c r="X64" s="11">
        <f>+I64*$M$24</f>
        <v>0</v>
      </c>
      <c r="Y64" s="4"/>
    </row>
    <row r="65" spans="1:28" x14ac:dyDescent="0.25">
      <c r="A65" s="13"/>
      <c r="B65" s="16" t="s">
        <v>25</v>
      </c>
      <c r="C65" s="1" t="s">
        <v>26</v>
      </c>
      <c r="D65" s="1"/>
      <c r="G65" s="2" t="s">
        <v>68</v>
      </c>
      <c r="H65" s="3">
        <f>B71/3</f>
        <v>0</v>
      </c>
      <c r="M65" s="10"/>
      <c r="N65" s="10"/>
      <c r="O65" s="10"/>
      <c r="P65" s="23" t="s">
        <v>570</v>
      </c>
      <c r="Q65" s="11">
        <f>$B$68*$M$29</f>
        <v>0</v>
      </c>
      <c r="R65" s="11">
        <f t="shared" ref="R65:X65" si="9">$B$68*$M$29</f>
        <v>0</v>
      </c>
      <c r="S65" s="11">
        <f t="shared" si="9"/>
        <v>0</v>
      </c>
      <c r="T65" s="11">
        <f t="shared" si="9"/>
        <v>0</v>
      </c>
      <c r="U65" s="11">
        <f t="shared" si="9"/>
        <v>0</v>
      </c>
      <c r="V65" s="11">
        <f t="shared" si="9"/>
        <v>0</v>
      </c>
      <c r="W65" s="11">
        <f t="shared" si="9"/>
        <v>0</v>
      </c>
      <c r="X65" s="11">
        <f t="shared" si="9"/>
        <v>0</v>
      </c>
      <c r="Y65" s="4"/>
    </row>
    <row r="66" spans="1:28" ht="15.75" x14ac:dyDescent="0.25">
      <c r="A66" s="21" t="s">
        <v>94</v>
      </c>
      <c r="B66" s="17"/>
      <c r="C66" s="15"/>
      <c r="G66" s="6" t="s">
        <v>27</v>
      </c>
      <c r="H66" s="3" t="s">
        <v>28</v>
      </c>
      <c r="I66" s="4" t="s">
        <v>29</v>
      </c>
      <c r="M66" s="10"/>
      <c r="N66" s="10"/>
      <c r="O66" s="10"/>
      <c r="P66" s="23"/>
      <c r="Y66" s="4" t="s">
        <v>94</v>
      </c>
      <c r="Z66">
        <v>37.44</v>
      </c>
      <c r="AA66">
        <f>B66</f>
        <v>0</v>
      </c>
      <c r="AB66">
        <f t="shared" ref="AB66:AB67" si="10">Z66*AA66</f>
        <v>0</v>
      </c>
    </row>
    <row r="67" spans="1:28" x14ac:dyDescent="0.25">
      <c r="B67" s="19"/>
      <c r="G67" s="2" t="s">
        <v>30</v>
      </c>
      <c r="H67" s="3">
        <f>(B52+B53+B56+B57)*2*2.4</f>
        <v>0</v>
      </c>
      <c r="I67" s="4">
        <f>H67/20</f>
        <v>0</v>
      </c>
      <c r="M67" s="10"/>
      <c r="N67" s="10"/>
      <c r="O67" s="10"/>
      <c r="P67" s="23"/>
      <c r="Y67" s="4"/>
      <c r="AA67" s="33">
        <f>(H63+H64)/0.2</f>
        <v>0</v>
      </c>
      <c r="AB67">
        <f t="shared" si="10"/>
        <v>0</v>
      </c>
    </row>
    <row r="68" spans="1:28" x14ac:dyDescent="0.25">
      <c r="A68" s="21" t="s">
        <v>567</v>
      </c>
      <c r="B68" s="17"/>
      <c r="M68" s="10"/>
      <c r="N68" s="10"/>
      <c r="O68" s="10"/>
      <c r="P68" s="23"/>
      <c r="Y68" s="4" t="s">
        <v>567</v>
      </c>
      <c r="AA68" s="33"/>
    </row>
    <row r="69" spans="1:28" x14ac:dyDescent="0.25">
      <c r="A69" s="21" t="s">
        <v>568</v>
      </c>
      <c r="B69" s="17"/>
      <c r="M69" s="10"/>
      <c r="N69" s="10"/>
      <c r="O69" s="10"/>
      <c r="P69" s="23"/>
      <c r="Y69" s="4" t="s">
        <v>568</v>
      </c>
      <c r="AA69" s="33"/>
    </row>
    <row r="70" spans="1:28" x14ac:dyDescent="0.25">
      <c r="B70" s="16" t="s">
        <v>69</v>
      </c>
      <c r="G70" s="2" t="s">
        <v>31</v>
      </c>
      <c r="H70" s="3">
        <f>(B52+B53+B56+B57)*2*2.4</f>
        <v>0</v>
      </c>
      <c r="I70" s="4">
        <f>H70/20</f>
        <v>0</v>
      </c>
      <c r="M70" s="10"/>
      <c r="N70" s="10"/>
      <c r="O70" s="10"/>
      <c r="P70" s="23"/>
      <c r="Y70" s="4"/>
    </row>
    <row r="71" spans="1:28" x14ac:dyDescent="0.25">
      <c r="A71" s="21" t="s">
        <v>68</v>
      </c>
      <c r="B71" s="17"/>
      <c r="G71" s="2" t="s">
        <v>32</v>
      </c>
      <c r="H71" s="3">
        <f>(B52+B53+B56+B57)*2*0.6</f>
        <v>0</v>
      </c>
      <c r="I71" s="4">
        <f>H71/10</f>
        <v>0</v>
      </c>
      <c r="M71" s="10"/>
      <c r="N71" s="10"/>
      <c r="O71" s="10"/>
      <c r="P71" s="23"/>
      <c r="Y71" s="4" t="s">
        <v>68</v>
      </c>
      <c r="AA71">
        <f>B71</f>
        <v>0</v>
      </c>
      <c r="AB71">
        <f t="shared" ref="AB71" si="11">Z71*AA71</f>
        <v>0</v>
      </c>
    </row>
    <row r="72" spans="1:28" x14ac:dyDescent="0.25">
      <c r="A72" s="22" t="s">
        <v>73</v>
      </c>
      <c r="B72" s="18"/>
      <c r="M72" s="10"/>
      <c r="N72" s="10"/>
      <c r="O72" s="10"/>
      <c r="P72" s="23"/>
      <c r="Y72" s="22" t="s">
        <v>73</v>
      </c>
    </row>
    <row r="73" spans="1:28" ht="15.75" x14ac:dyDescent="0.25">
      <c r="B73" s="20" t="s">
        <v>69</v>
      </c>
      <c r="G73" s="6" t="s">
        <v>33</v>
      </c>
      <c r="M73" s="10"/>
      <c r="N73" s="10"/>
      <c r="O73" s="10"/>
      <c r="P73" s="23"/>
      <c r="Y73" s="4"/>
    </row>
    <row r="74" spans="1:28" x14ac:dyDescent="0.25">
      <c r="A74" s="21" t="s">
        <v>70</v>
      </c>
      <c r="B74" s="17"/>
      <c r="H74" s="3" t="s">
        <v>20</v>
      </c>
      <c r="I74" s="4" t="s">
        <v>34</v>
      </c>
      <c r="M74" s="10"/>
      <c r="N74" s="10"/>
      <c r="O74" s="10"/>
      <c r="P74" s="23"/>
      <c r="Y74" s="4" t="s">
        <v>70</v>
      </c>
      <c r="Z74">
        <v>1.7</v>
      </c>
      <c r="AA74">
        <f>B74</f>
        <v>0</v>
      </c>
      <c r="AB74">
        <f t="shared" ref="AB74" si="12">Z74*AA74</f>
        <v>0</v>
      </c>
    </row>
    <row r="75" spans="1:28" x14ac:dyDescent="0.25">
      <c r="A75" s="22" t="s">
        <v>72</v>
      </c>
      <c r="B75" s="18"/>
      <c r="G75" s="2" t="s">
        <v>35</v>
      </c>
      <c r="H75" s="3">
        <f>(B52+B53+B56+B57)*0.22222</f>
        <v>0</v>
      </c>
      <c r="I75" s="9">
        <f>(H75/18)*1.1</f>
        <v>0</v>
      </c>
      <c r="J75" s="9"/>
      <c r="M75" s="10"/>
      <c r="N75" s="10"/>
      <c r="O75" s="10"/>
      <c r="P75" s="23"/>
    </row>
    <row r="76" spans="1:28" x14ac:dyDescent="0.25">
      <c r="B76" s="18"/>
      <c r="G76" s="2" t="s">
        <v>36</v>
      </c>
      <c r="H76" s="3">
        <f>(B52+B53+B56+B57)*0.25</f>
        <v>0</v>
      </c>
      <c r="I76" s="9">
        <f>(H76/18)*1.1</f>
        <v>0</v>
      </c>
      <c r="J76" s="9"/>
      <c r="AB76">
        <f>SUM(AB52:AB74)</f>
        <v>0</v>
      </c>
    </row>
    <row r="77" spans="1:28" x14ac:dyDescent="0.25">
      <c r="A77" s="21" t="s">
        <v>82</v>
      </c>
      <c r="B77" s="17"/>
      <c r="C77" s="25" t="s">
        <v>83</v>
      </c>
    </row>
    <row r="78" spans="1:28" x14ac:dyDescent="0.25">
      <c r="A78" s="21" t="s">
        <v>84</v>
      </c>
      <c r="B78" s="17"/>
      <c r="C78" s="25" t="s">
        <v>98</v>
      </c>
    </row>
    <row r="79" spans="1:28" x14ac:dyDescent="0.25">
      <c r="A79" s="27" t="s">
        <v>96</v>
      </c>
      <c r="B79" s="24"/>
      <c r="C79" s="26" t="s">
        <v>97</v>
      </c>
    </row>
    <row r="81" spans="1:28" x14ac:dyDescent="0.25">
      <c r="Q81" s="14">
        <f t="shared" ref="Q81:X81" si="13">SUM(Q52:Q77)</f>
        <v>0</v>
      </c>
      <c r="R81" s="14">
        <f t="shared" si="13"/>
        <v>0</v>
      </c>
      <c r="S81" s="14">
        <f t="shared" si="13"/>
        <v>0</v>
      </c>
      <c r="T81" s="14">
        <f t="shared" si="13"/>
        <v>0</v>
      </c>
      <c r="U81" s="14">
        <f t="shared" si="13"/>
        <v>0</v>
      </c>
      <c r="V81" s="14">
        <f t="shared" si="13"/>
        <v>0</v>
      </c>
      <c r="W81" s="14">
        <f t="shared" si="13"/>
        <v>0</v>
      </c>
      <c r="X81" s="14">
        <f t="shared" si="13"/>
        <v>0</v>
      </c>
    </row>
    <row r="82" spans="1:28" x14ac:dyDescent="0.25">
      <c r="A82" s="13" t="s">
        <v>66</v>
      </c>
      <c r="B82" s="13" t="s">
        <v>56</v>
      </c>
      <c r="C82" s="14">
        <f>SUMIF(Q83:Q90,B82,R83:R90)/((100-B83)/100)</f>
        <v>0</v>
      </c>
      <c r="D82" s="14"/>
    </row>
    <row r="83" spans="1:28" x14ac:dyDescent="0.25">
      <c r="A83" s="13" t="s">
        <v>169</v>
      </c>
      <c r="B83" s="13"/>
      <c r="C83" s="1"/>
      <c r="D83" s="1"/>
      <c r="Q83" s="13" t="s">
        <v>56</v>
      </c>
      <c r="R83" s="11">
        <f>Q81/((100-B87)/100)</f>
        <v>0</v>
      </c>
    </row>
    <row r="84" spans="1:28" x14ac:dyDescent="0.25">
      <c r="Q84" s="13" t="s">
        <v>55</v>
      </c>
      <c r="R84" s="11">
        <f>R81/((100-B87)/100)</f>
        <v>0</v>
      </c>
    </row>
    <row r="85" spans="1:28" x14ac:dyDescent="0.25">
      <c r="A85" s="13" t="s">
        <v>76</v>
      </c>
      <c r="C85" s="37">
        <f>AB76*((100+B86)/100)</f>
        <v>0</v>
      </c>
      <c r="Q85" s="13" t="s">
        <v>57</v>
      </c>
      <c r="R85" s="11">
        <f>S81/((100-B87)/100)</f>
        <v>0</v>
      </c>
    </row>
    <row r="86" spans="1:28" x14ac:dyDescent="0.25">
      <c r="A86" s="13" t="s">
        <v>154</v>
      </c>
      <c r="B86" s="4">
        <v>50</v>
      </c>
      <c r="Q86" s="13" t="s">
        <v>58</v>
      </c>
      <c r="R86" s="11">
        <f>T81/((100-B87)/100)</f>
        <v>0</v>
      </c>
    </row>
    <row r="87" spans="1:28" x14ac:dyDescent="0.25">
      <c r="Q87" s="13" t="s">
        <v>59</v>
      </c>
      <c r="R87" s="11">
        <f>U81/((100-B87)/100)</f>
        <v>0</v>
      </c>
    </row>
    <row r="88" spans="1:28" x14ac:dyDescent="0.25">
      <c r="Q88" s="13" t="s">
        <v>61</v>
      </c>
      <c r="R88" s="11">
        <f>V81/((100-B87)/100)</f>
        <v>0</v>
      </c>
    </row>
    <row r="89" spans="1:28" x14ac:dyDescent="0.25">
      <c r="Q89" s="13" t="s">
        <v>62</v>
      </c>
      <c r="R89" s="11">
        <f>W81/((100-B87)/100)</f>
        <v>0</v>
      </c>
    </row>
    <row r="90" spans="1:28" x14ac:dyDescent="0.25">
      <c r="Q90" s="13" t="s">
        <v>63</v>
      </c>
      <c r="R90" s="11">
        <f>X81/((100-B87)/100)</f>
        <v>0</v>
      </c>
    </row>
    <row r="92" spans="1:28" x14ac:dyDescent="0.25">
      <c r="A92" s="13" t="s">
        <v>108</v>
      </c>
      <c r="B92" s="13" t="s">
        <v>79</v>
      </c>
    </row>
    <row r="93" spans="1:28" x14ac:dyDescent="0.25">
      <c r="A93" s="13" t="s">
        <v>81</v>
      </c>
    </row>
    <row r="94" spans="1:28" ht="15.75" x14ac:dyDescent="0.25">
      <c r="G94" s="5" t="s">
        <v>0</v>
      </c>
    </row>
    <row r="95" spans="1:28" ht="15.75" x14ac:dyDescent="0.25">
      <c r="A95" s="13" t="s">
        <v>1</v>
      </c>
      <c r="B95" s="16" t="s">
        <v>2</v>
      </c>
      <c r="G95" s="6"/>
      <c r="H95" s="7" t="s">
        <v>3</v>
      </c>
      <c r="K95" s="8"/>
      <c r="L95" s="8"/>
      <c r="M95" s="8"/>
      <c r="N95" s="8"/>
      <c r="O95" s="8"/>
      <c r="P95" s="6"/>
      <c r="Q95" s="1" t="s">
        <v>56</v>
      </c>
      <c r="R95" s="1" t="s">
        <v>55</v>
      </c>
      <c r="S95" s="12" t="s">
        <v>57</v>
      </c>
      <c r="T95" s="13" t="s">
        <v>58</v>
      </c>
      <c r="U95" s="13" t="s">
        <v>59</v>
      </c>
      <c r="V95" s="13" t="s">
        <v>61</v>
      </c>
      <c r="W95" s="13" t="s">
        <v>62</v>
      </c>
      <c r="X95" s="13" t="s">
        <v>63</v>
      </c>
      <c r="Z95" s="13" t="s">
        <v>554</v>
      </c>
      <c r="AA95" s="13" t="s">
        <v>198</v>
      </c>
      <c r="AB95" s="13" t="s">
        <v>209</v>
      </c>
    </row>
    <row r="96" spans="1:28" x14ac:dyDescent="0.25">
      <c r="A96" s="17" t="s">
        <v>4</v>
      </c>
      <c r="B96" s="17"/>
      <c r="G96" s="2" t="s">
        <v>5</v>
      </c>
      <c r="H96" s="3">
        <f>(((B96*2)+(B97*4)+(B100*2)+(B101*4))+((B110*C110)*2)+(B103)+(B112))*1.1</f>
        <v>0</v>
      </c>
      <c r="M96" s="10"/>
      <c r="N96" s="10"/>
      <c r="O96" s="10"/>
      <c r="P96" s="23" t="s">
        <v>86</v>
      </c>
      <c r="Q96" s="11">
        <f>H96*$M$7</f>
        <v>0</v>
      </c>
      <c r="R96" s="11">
        <f>H96*$M$7</f>
        <v>0</v>
      </c>
      <c r="S96" s="11">
        <f>H96*$M$7</f>
        <v>0</v>
      </c>
      <c r="T96" s="11">
        <f>H96*$M$7</f>
        <v>0</v>
      </c>
      <c r="U96" s="11">
        <f>H96*($M$7/2)+(H96*$M$25/2)</f>
        <v>0</v>
      </c>
      <c r="V96" s="11">
        <f>H96*($M$7/2)+(H96*$M$25/2)</f>
        <v>0</v>
      </c>
      <c r="W96" s="11">
        <f>H96*($M$7/2)+(H96*$M$25/2)</f>
        <v>0</v>
      </c>
      <c r="X96" s="11">
        <f>H96*($M$7/2)+(H96*$M$25/2)</f>
        <v>0</v>
      </c>
      <c r="Y96" s="4" t="s">
        <v>4</v>
      </c>
      <c r="Z96">
        <v>27.9</v>
      </c>
      <c r="AA96">
        <f>B96</f>
        <v>0</v>
      </c>
      <c r="AB96">
        <f>Z96*AA96</f>
        <v>0</v>
      </c>
    </row>
    <row r="97" spans="1:28" x14ac:dyDescent="0.25">
      <c r="A97" s="17" t="s">
        <v>6</v>
      </c>
      <c r="B97" s="17"/>
      <c r="G97" s="2" t="s">
        <v>7</v>
      </c>
      <c r="H97" s="3">
        <f>(((B96+B97+(B100*2)+(B101*2))*1.667)+(B110*1.667*C110))*1.1</f>
        <v>0</v>
      </c>
      <c r="I97" s="4" t="s">
        <v>8</v>
      </c>
      <c r="M97" s="10"/>
      <c r="N97" s="10"/>
      <c r="O97" s="10"/>
      <c r="P97" s="23" t="s">
        <v>87</v>
      </c>
      <c r="Q97" s="11">
        <f>H97*$M$10</f>
        <v>0</v>
      </c>
      <c r="R97" s="11">
        <f>H97*$M$13</f>
        <v>0</v>
      </c>
      <c r="S97" s="11">
        <f>H97*$M$19</f>
        <v>0</v>
      </c>
      <c r="T97" s="11">
        <f>H97*$M$21</f>
        <v>0</v>
      </c>
      <c r="U97" s="11">
        <f>H97*$M$10</f>
        <v>0</v>
      </c>
      <c r="V97" s="11">
        <f>H97*$M$13</f>
        <v>0</v>
      </c>
      <c r="W97" s="11">
        <f>H97*$M$19</f>
        <v>0</v>
      </c>
      <c r="X97" s="11">
        <f>H97*$M$21</f>
        <v>0</v>
      </c>
      <c r="Y97" s="4" t="s">
        <v>6</v>
      </c>
      <c r="Z97">
        <v>37.44</v>
      </c>
      <c r="AA97">
        <f>B97</f>
        <v>0</v>
      </c>
      <c r="AB97">
        <f>Z97*AA97</f>
        <v>0</v>
      </c>
    </row>
    <row r="98" spans="1:28" x14ac:dyDescent="0.25">
      <c r="B98" s="18"/>
      <c r="G98" s="2" t="s">
        <v>9</v>
      </c>
      <c r="H98" s="3">
        <f>(((B96+B97+B100+B101)*0.667)+(B110*2))*1.1</f>
        <v>0</v>
      </c>
      <c r="I98" s="9">
        <f>((B96+B97+B100+B101)*1.666667)*1.1</f>
        <v>0</v>
      </c>
      <c r="J98" s="9"/>
      <c r="M98" s="10"/>
      <c r="N98" s="10"/>
      <c r="O98" s="10"/>
      <c r="P98" s="23" t="s">
        <v>88</v>
      </c>
      <c r="Q98" s="11">
        <f>H98*$M$11</f>
        <v>0</v>
      </c>
      <c r="R98" s="11">
        <f>H98*$M$14</f>
        <v>0</v>
      </c>
      <c r="S98" s="11">
        <f>H98*$M$20</f>
        <v>0</v>
      </c>
      <c r="T98" s="11">
        <f>H98*$M$22</f>
        <v>0</v>
      </c>
      <c r="U98" s="11">
        <f>H98*$M$11</f>
        <v>0</v>
      </c>
      <c r="V98" s="11">
        <f>H98*$M$14</f>
        <v>0</v>
      </c>
      <c r="W98" s="11">
        <f>H98*$M$20</f>
        <v>0</v>
      </c>
      <c r="X98" s="11">
        <f>H98*$M$22</f>
        <v>0</v>
      </c>
      <c r="Y98" s="4"/>
    </row>
    <row r="99" spans="1:28" x14ac:dyDescent="0.25">
      <c r="A99" s="13" t="s">
        <v>10</v>
      </c>
      <c r="B99" s="18"/>
      <c r="G99" s="2" t="s">
        <v>11</v>
      </c>
      <c r="H99" s="3">
        <f>(B96+B97+B100+B101)*1.1</f>
        <v>0</v>
      </c>
      <c r="M99" s="10"/>
      <c r="N99" s="10"/>
      <c r="O99" s="10"/>
      <c r="P99" s="23" t="s">
        <v>89</v>
      </c>
      <c r="Q99" s="11">
        <f>+H99*$M$16</f>
        <v>0</v>
      </c>
      <c r="R99" s="11">
        <f>+H99*$M$16</f>
        <v>0</v>
      </c>
      <c r="S99" s="11">
        <f>+H99*$M$16</f>
        <v>0</v>
      </c>
      <c r="T99" s="11">
        <f>+H99*$M$16</f>
        <v>0</v>
      </c>
      <c r="U99" s="11">
        <f>+H99*$M$16</f>
        <v>0</v>
      </c>
      <c r="V99" s="11">
        <f>+H99*$M$16</f>
        <v>0</v>
      </c>
      <c r="W99" s="11">
        <f>+H99*$M$16</f>
        <v>0</v>
      </c>
      <c r="X99" s="11">
        <f>+H99*$M$16</f>
        <v>0</v>
      </c>
      <c r="Y99" s="4" t="s">
        <v>10</v>
      </c>
    </row>
    <row r="100" spans="1:28" x14ac:dyDescent="0.25">
      <c r="A100" s="17" t="s">
        <v>12</v>
      </c>
      <c r="B100" s="17"/>
      <c r="G100" s="2" t="s">
        <v>13</v>
      </c>
      <c r="H100" s="3">
        <f>(((B96+(B97*2)+B100+(B101*2))*30)+(B110*C110*30*2)+(B112*30))*1.1</f>
        <v>0</v>
      </c>
      <c r="I100" s="105">
        <f>H100/1000</f>
        <v>0</v>
      </c>
      <c r="J100" s="106">
        <f>ROUNDUP(I100,0)</f>
        <v>0</v>
      </c>
      <c r="M100" s="10"/>
      <c r="N100" s="10"/>
      <c r="O100" s="10"/>
      <c r="P100" s="23" t="s">
        <v>90</v>
      </c>
      <c r="Q100" s="11">
        <f>$J$100*$M$30</f>
        <v>0</v>
      </c>
      <c r="R100" s="11">
        <f t="shared" ref="R100:X100" si="14">$J$100*$M$30</f>
        <v>0</v>
      </c>
      <c r="S100" s="11">
        <f t="shared" si="14"/>
        <v>0</v>
      </c>
      <c r="T100" s="11">
        <f t="shared" si="14"/>
        <v>0</v>
      </c>
      <c r="U100" s="11">
        <f t="shared" si="14"/>
        <v>0</v>
      </c>
      <c r="V100" s="11">
        <f t="shared" si="14"/>
        <v>0</v>
      </c>
      <c r="W100" s="11">
        <f t="shared" si="14"/>
        <v>0</v>
      </c>
      <c r="X100" s="11">
        <f t="shared" si="14"/>
        <v>0</v>
      </c>
      <c r="Y100" s="4" t="s">
        <v>12</v>
      </c>
      <c r="Z100">
        <v>30.96</v>
      </c>
      <c r="AA100">
        <f>B100</f>
        <v>0</v>
      </c>
      <c r="AB100">
        <f t="shared" ref="AB100:AB101" si="15">Z100*AA100</f>
        <v>0</v>
      </c>
    </row>
    <row r="101" spans="1:28" x14ac:dyDescent="0.25">
      <c r="A101" s="17" t="s">
        <v>14</v>
      </c>
      <c r="B101" s="17"/>
      <c r="G101" s="2" t="s">
        <v>15</v>
      </c>
      <c r="H101" s="3">
        <f>(H98*0.4)*1.1</f>
        <v>0</v>
      </c>
      <c r="M101" s="10"/>
      <c r="N101" s="10"/>
      <c r="O101" s="10"/>
      <c r="P101" s="23" t="s">
        <v>92</v>
      </c>
      <c r="Q101" s="11">
        <f>B121*$M$26</f>
        <v>0</v>
      </c>
      <c r="R101" s="11">
        <f>B121*$M$26</f>
        <v>0</v>
      </c>
      <c r="S101" s="11">
        <f>B121*$M$26</f>
        <v>0</v>
      </c>
      <c r="T101" s="11">
        <f>B121*$M$26</f>
        <v>0</v>
      </c>
      <c r="U101" s="11">
        <f>B121*$M$26</f>
        <v>0</v>
      </c>
      <c r="V101" s="11">
        <f>B121*$M$26</f>
        <v>0</v>
      </c>
      <c r="W101" s="11">
        <f>B121*$M$26</f>
        <v>0</v>
      </c>
      <c r="X101" s="11">
        <f>B121*$M$26</f>
        <v>0</v>
      </c>
      <c r="Y101" s="4" t="s">
        <v>14</v>
      </c>
      <c r="Z101">
        <v>40.32</v>
      </c>
      <c r="AA101">
        <f>B101</f>
        <v>0</v>
      </c>
      <c r="AB101">
        <f t="shared" si="15"/>
        <v>0</v>
      </c>
    </row>
    <row r="102" spans="1:28" x14ac:dyDescent="0.25">
      <c r="B102" s="18"/>
      <c r="G102" s="2" t="s">
        <v>71</v>
      </c>
      <c r="H102" s="3">
        <f>(8*B107+B118)*1.1</f>
        <v>0</v>
      </c>
      <c r="M102" s="10"/>
      <c r="N102" s="10"/>
      <c r="O102" s="10"/>
      <c r="P102" s="23" t="s">
        <v>85</v>
      </c>
      <c r="Q102" s="11">
        <f>+H102*$M$12</f>
        <v>0</v>
      </c>
      <c r="R102" s="11">
        <f>+H102*$M$15</f>
        <v>0</v>
      </c>
      <c r="S102" s="11">
        <f>+H102*$M$12</f>
        <v>0</v>
      </c>
      <c r="T102" s="11">
        <f>+H102*$M$12</f>
        <v>0</v>
      </c>
      <c r="U102" s="11">
        <f>+H102*$M$12</f>
        <v>0</v>
      </c>
      <c r="V102" s="11">
        <f>+H102*$M$15</f>
        <v>0</v>
      </c>
      <c r="W102" s="11">
        <f>+H102*$M$12</f>
        <v>0</v>
      </c>
      <c r="X102" s="11">
        <f>+H102*$M$12</f>
        <v>0</v>
      </c>
      <c r="Y102" s="4"/>
    </row>
    <row r="103" spans="1:28" x14ac:dyDescent="0.25">
      <c r="A103" s="21" t="s">
        <v>77</v>
      </c>
      <c r="B103" s="17"/>
      <c r="G103" s="2" t="s">
        <v>16</v>
      </c>
      <c r="H103" s="3">
        <f>(B107*6)</f>
        <v>0</v>
      </c>
      <c r="M103" s="10"/>
      <c r="N103" s="10"/>
      <c r="O103" s="10"/>
      <c r="P103" s="23" t="s">
        <v>84</v>
      </c>
      <c r="Q103" s="11">
        <f>B122*$M$27</f>
        <v>0</v>
      </c>
      <c r="R103" s="11">
        <f>B122*$M$27</f>
        <v>0</v>
      </c>
      <c r="S103" s="11">
        <f>B122*$M$27</f>
        <v>0</v>
      </c>
      <c r="T103" s="11">
        <f>B122*$M$27</f>
        <v>0</v>
      </c>
      <c r="U103" s="11">
        <f>B122*$M$27</f>
        <v>0</v>
      </c>
      <c r="V103" s="11">
        <f>B122*$M$27</f>
        <v>0</v>
      </c>
      <c r="W103" s="11">
        <f>B122*$M$27</f>
        <v>0</v>
      </c>
      <c r="X103" s="11">
        <f>B122*$M$27</f>
        <v>0</v>
      </c>
      <c r="Y103" s="4" t="s">
        <v>77</v>
      </c>
      <c r="Z103">
        <v>16.2</v>
      </c>
      <c r="AA103">
        <f>B103</f>
        <v>0</v>
      </c>
      <c r="AB103">
        <f t="shared" ref="AB103:AB106" si="16">Z103*AA103</f>
        <v>0</v>
      </c>
    </row>
    <row r="104" spans="1:28" x14ac:dyDescent="0.25">
      <c r="A104" s="21" t="s">
        <v>78</v>
      </c>
      <c r="B104" s="17"/>
      <c r="G104" s="2" t="s">
        <v>17</v>
      </c>
      <c r="H104" s="3">
        <f>H98/0.3</f>
        <v>0</v>
      </c>
      <c r="M104" s="10"/>
      <c r="N104" s="10"/>
      <c r="O104" s="10"/>
      <c r="P104" s="23" t="s">
        <v>68</v>
      </c>
      <c r="Q104" s="11">
        <f>H109*$M$28</f>
        <v>0</v>
      </c>
      <c r="R104" s="11">
        <f>H109*$M$28</f>
        <v>0</v>
      </c>
      <c r="S104" s="11">
        <f>H109*$M$28</f>
        <v>0</v>
      </c>
      <c r="T104" s="11">
        <f>H109*$M$28</f>
        <v>0</v>
      </c>
      <c r="U104" s="11">
        <f>H109*$M$28</f>
        <v>0</v>
      </c>
      <c r="V104" s="11">
        <f>H109*$M$28</f>
        <v>0</v>
      </c>
      <c r="W104" s="11">
        <f>H109*$M$28</f>
        <v>0</v>
      </c>
      <c r="X104" s="11">
        <f>H109*$M$28</f>
        <v>0</v>
      </c>
      <c r="Y104" s="4" t="s">
        <v>78</v>
      </c>
      <c r="Z104">
        <v>18</v>
      </c>
      <c r="AA104">
        <f>B104</f>
        <v>0</v>
      </c>
      <c r="AB104">
        <f t="shared" si="16"/>
        <v>0</v>
      </c>
    </row>
    <row r="105" spans="1:28" x14ac:dyDescent="0.25">
      <c r="B105" s="19"/>
      <c r="G105" s="2" t="s">
        <v>570</v>
      </c>
      <c r="H105" s="3">
        <f>B112*1.1</f>
        <v>0</v>
      </c>
      <c r="M105" s="10"/>
      <c r="N105" s="10"/>
      <c r="O105" s="10"/>
      <c r="P105" s="23" t="s">
        <v>91</v>
      </c>
      <c r="Q105" s="11">
        <f>B104*(18*0.014)*$M$25*1.1</f>
        <v>0</v>
      </c>
      <c r="R105" s="11">
        <f>B104*$M$25*1.1</f>
        <v>0</v>
      </c>
      <c r="S105" s="11">
        <f>B104*$M$25*1.1</f>
        <v>0</v>
      </c>
      <c r="T105" s="11">
        <f>B104*$M$25*1.1</f>
        <v>0</v>
      </c>
      <c r="U105" s="11">
        <f>B104*$M$25*1.1</f>
        <v>0</v>
      </c>
      <c r="V105" s="11">
        <f>B104*$M$25*1.1</f>
        <v>0</v>
      </c>
      <c r="W105" s="11">
        <f>B104*$M$25*1.1</f>
        <v>0</v>
      </c>
      <c r="X105" s="11">
        <f>B104*$M$25*1.1</f>
        <v>0</v>
      </c>
      <c r="Y105" s="4" t="s">
        <v>567</v>
      </c>
      <c r="Z105">
        <v>18.5</v>
      </c>
      <c r="AA105">
        <f>B112</f>
        <v>0</v>
      </c>
      <c r="AB105">
        <f t="shared" si="16"/>
        <v>0</v>
      </c>
    </row>
    <row r="106" spans="1:28" ht="15.75" x14ac:dyDescent="0.25">
      <c r="B106" s="16" t="s">
        <v>18</v>
      </c>
      <c r="G106" s="6" t="s">
        <v>19</v>
      </c>
      <c r="H106" s="3" t="s">
        <v>20</v>
      </c>
      <c r="I106" s="4" t="s">
        <v>21</v>
      </c>
      <c r="M106" s="10"/>
      <c r="N106" s="10"/>
      <c r="O106" s="10"/>
      <c r="P106" s="23" t="s">
        <v>96</v>
      </c>
      <c r="Q106" s="11">
        <f>$B$123</f>
        <v>0</v>
      </c>
      <c r="R106" s="11">
        <f t="shared" ref="R106:X106" si="17">$B$123</f>
        <v>0</v>
      </c>
      <c r="S106" s="11">
        <f t="shared" si="17"/>
        <v>0</v>
      </c>
      <c r="T106" s="11">
        <f t="shared" si="17"/>
        <v>0</v>
      </c>
      <c r="U106" s="11">
        <f t="shared" si="17"/>
        <v>0</v>
      </c>
      <c r="V106" s="11">
        <f t="shared" si="17"/>
        <v>0</v>
      </c>
      <c r="W106" s="11">
        <f t="shared" si="17"/>
        <v>0</v>
      </c>
      <c r="X106" s="11">
        <f t="shared" si="17"/>
        <v>0</v>
      </c>
      <c r="Y106" s="4" t="s">
        <v>568</v>
      </c>
      <c r="Z106">
        <v>11.98</v>
      </c>
      <c r="AA106">
        <f>B113</f>
        <v>0</v>
      </c>
      <c r="AB106">
        <f t="shared" si="16"/>
        <v>0</v>
      </c>
    </row>
    <row r="107" spans="1:28" x14ac:dyDescent="0.25">
      <c r="A107" s="21" t="s">
        <v>22</v>
      </c>
      <c r="B107" s="17"/>
      <c r="G107" s="2" t="s">
        <v>23</v>
      </c>
      <c r="H107" s="3">
        <f>(((B96+B97+B100+B101+B112)*2)*0.25*0.3)+(B103*0.32*1.1)</f>
        <v>0</v>
      </c>
      <c r="I107" s="9">
        <f>H107/10</f>
        <v>0</v>
      </c>
      <c r="J107" s="9"/>
      <c r="M107" s="10"/>
      <c r="N107" s="10"/>
      <c r="O107" s="10"/>
      <c r="P107" s="23" t="s">
        <v>23</v>
      </c>
      <c r="Q107" s="11">
        <f>+I107*$M$23</f>
        <v>0</v>
      </c>
      <c r="R107" s="11">
        <f>+I107*$M$23</f>
        <v>0</v>
      </c>
      <c r="S107" s="11">
        <f>+I107*$M$23</f>
        <v>0</v>
      </c>
      <c r="T107" s="11">
        <f>+I107*$M$23</f>
        <v>0</v>
      </c>
      <c r="U107" s="11">
        <f>+I107*$M$23</f>
        <v>0</v>
      </c>
      <c r="V107" s="11">
        <f>+I107*$M$23</f>
        <v>0</v>
      </c>
      <c r="W107" s="11">
        <f>+I107*$M$23</f>
        <v>0</v>
      </c>
      <c r="X107" s="11">
        <f>+I107*$M$23</f>
        <v>0</v>
      </c>
      <c r="Y107" s="4" t="s">
        <v>22</v>
      </c>
      <c r="Z107">
        <v>16.38</v>
      </c>
      <c r="AA107">
        <f>B107</f>
        <v>0</v>
      </c>
      <c r="AB107">
        <f t="shared" ref="AB107" si="18">Z107*AA107</f>
        <v>0</v>
      </c>
    </row>
    <row r="108" spans="1:28" x14ac:dyDescent="0.25">
      <c r="B108" s="19"/>
      <c r="G108" s="2" t="s">
        <v>24</v>
      </c>
      <c r="H108" s="3">
        <f>(((B96+B97+B100+B101+B112)*2)*0.25*0.3)+(B103*0.32*1.1)</f>
        <v>0</v>
      </c>
      <c r="I108" s="9">
        <f>H108/10</f>
        <v>0</v>
      </c>
      <c r="J108" s="9"/>
      <c r="M108" s="10"/>
      <c r="N108" s="10"/>
      <c r="O108" s="10"/>
      <c r="P108" s="23" t="s">
        <v>24</v>
      </c>
      <c r="Q108" s="11">
        <f>+I108*$M$24</f>
        <v>0</v>
      </c>
      <c r="R108" s="11">
        <f>+I108*$M$24</f>
        <v>0</v>
      </c>
      <c r="S108" s="11">
        <f>+I108*$M$24</f>
        <v>0</v>
      </c>
      <c r="T108" s="11">
        <f>+I108*$M$24</f>
        <v>0</v>
      </c>
      <c r="U108" s="11">
        <f>+I108*$M$24</f>
        <v>0</v>
      </c>
      <c r="V108" s="11">
        <f>+I108*$M$24</f>
        <v>0</v>
      </c>
      <c r="W108" s="11">
        <f>+I108*$M$24</f>
        <v>0</v>
      </c>
      <c r="X108" s="11">
        <f>+I108*$M$24</f>
        <v>0</v>
      </c>
      <c r="Y108" s="4"/>
    </row>
    <row r="109" spans="1:28" x14ac:dyDescent="0.25">
      <c r="A109" s="13"/>
      <c r="B109" s="16" t="s">
        <v>25</v>
      </c>
      <c r="C109" s="1" t="s">
        <v>26</v>
      </c>
      <c r="D109" s="1"/>
      <c r="G109" s="2" t="s">
        <v>68</v>
      </c>
      <c r="H109" s="3">
        <f>B115/3</f>
        <v>0</v>
      </c>
      <c r="M109" s="10"/>
      <c r="N109" s="10"/>
      <c r="O109" s="10"/>
      <c r="P109" s="23" t="s">
        <v>570</v>
      </c>
      <c r="Q109" s="11">
        <f>$B$112*$M$29</f>
        <v>0</v>
      </c>
      <c r="R109" s="11">
        <f t="shared" ref="R109:X109" si="19">$B$112*$M$29</f>
        <v>0</v>
      </c>
      <c r="S109" s="11">
        <f t="shared" si="19"/>
        <v>0</v>
      </c>
      <c r="T109" s="11">
        <f t="shared" si="19"/>
        <v>0</v>
      </c>
      <c r="U109" s="11">
        <f t="shared" si="19"/>
        <v>0</v>
      </c>
      <c r="V109" s="11">
        <f t="shared" si="19"/>
        <v>0</v>
      </c>
      <c r="W109" s="11">
        <f t="shared" si="19"/>
        <v>0</v>
      </c>
      <c r="X109" s="11">
        <f t="shared" si="19"/>
        <v>0</v>
      </c>
      <c r="Y109" s="4"/>
    </row>
    <row r="110" spans="1:28" ht="15.75" x14ac:dyDescent="0.25">
      <c r="A110" s="21" t="s">
        <v>94</v>
      </c>
      <c r="B110" s="17"/>
      <c r="C110" s="15"/>
      <c r="G110" s="6" t="s">
        <v>27</v>
      </c>
      <c r="H110" s="3" t="s">
        <v>28</v>
      </c>
      <c r="I110" s="4" t="s">
        <v>29</v>
      </c>
      <c r="M110" s="10"/>
      <c r="N110" s="10"/>
      <c r="O110" s="10"/>
      <c r="P110" s="23"/>
      <c r="Y110" s="4" t="s">
        <v>94</v>
      </c>
      <c r="Z110">
        <v>37.44</v>
      </c>
      <c r="AA110">
        <f>B110</f>
        <v>0</v>
      </c>
      <c r="AB110">
        <f t="shared" ref="AB110:AB111" si="20">Z110*AA110</f>
        <v>0</v>
      </c>
    </row>
    <row r="111" spans="1:28" x14ac:dyDescent="0.25">
      <c r="B111" s="19"/>
      <c r="G111" s="2" t="s">
        <v>30</v>
      </c>
      <c r="H111" s="3">
        <f>(B96+B97+B100+B101)*2*2.4</f>
        <v>0</v>
      </c>
      <c r="I111" s="4">
        <f>H111/20</f>
        <v>0</v>
      </c>
      <c r="M111" s="10"/>
      <c r="N111" s="10"/>
      <c r="O111" s="10"/>
      <c r="P111" s="23"/>
      <c r="Y111" s="4"/>
      <c r="AA111" s="33">
        <f>(H107+H108)/0.2</f>
        <v>0</v>
      </c>
      <c r="AB111">
        <f t="shared" si="20"/>
        <v>0</v>
      </c>
    </row>
    <row r="112" spans="1:28" x14ac:dyDescent="0.25">
      <c r="A112" s="21" t="s">
        <v>567</v>
      </c>
      <c r="B112" s="17"/>
      <c r="M112" s="10"/>
      <c r="N112" s="10"/>
      <c r="O112" s="10"/>
      <c r="P112" s="23"/>
      <c r="Y112" s="4" t="s">
        <v>567</v>
      </c>
      <c r="AA112" s="33"/>
    </row>
    <row r="113" spans="1:28" x14ac:dyDescent="0.25">
      <c r="A113" s="21" t="s">
        <v>568</v>
      </c>
      <c r="B113" s="17"/>
      <c r="M113" s="10"/>
      <c r="N113" s="10"/>
      <c r="O113" s="10"/>
      <c r="P113" s="23"/>
      <c r="Y113" s="4" t="s">
        <v>568</v>
      </c>
      <c r="AA113" s="33"/>
    </row>
    <row r="114" spans="1:28" x14ac:dyDescent="0.25">
      <c r="B114" s="16" t="s">
        <v>69</v>
      </c>
      <c r="G114" s="2" t="s">
        <v>31</v>
      </c>
      <c r="H114" s="3">
        <f>(B96+B97+B100+B101)*2*2.4</f>
        <v>0</v>
      </c>
      <c r="I114" s="4">
        <f>H114/20</f>
        <v>0</v>
      </c>
      <c r="M114" s="10"/>
      <c r="N114" s="10"/>
      <c r="O114" s="10"/>
      <c r="P114" s="23"/>
      <c r="Y114" s="4"/>
    </row>
    <row r="115" spans="1:28" x14ac:dyDescent="0.25">
      <c r="A115" s="21" t="s">
        <v>68</v>
      </c>
      <c r="B115" s="17"/>
      <c r="G115" s="2" t="s">
        <v>32</v>
      </c>
      <c r="H115" s="3">
        <f>(B96+B97+B100+B101)*2*0.6</f>
        <v>0</v>
      </c>
      <c r="I115" s="4">
        <f>H115/10</f>
        <v>0</v>
      </c>
      <c r="M115" s="10"/>
      <c r="N115" s="10"/>
      <c r="O115" s="10"/>
      <c r="P115" s="23"/>
      <c r="Y115" s="4" t="s">
        <v>68</v>
      </c>
      <c r="AA115">
        <f>B115</f>
        <v>0</v>
      </c>
      <c r="AB115">
        <f t="shared" ref="AB115" si="21">Z115*AA115</f>
        <v>0</v>
      </c>
    </row>
    <row r="116" spans="1:28" x14ac:dyDescent="0.25">
      <c r="A116" s="22" t="s">
        <v>73</v>
      </c>
      <c r="B116" s="18"/>
      <c r="M116" s="10"/>
      <c r="N116" s="10"/>
      <c r="O116" s="10"/>
      <c r="P116" s="23"/>
      <c r="Y116" s="22" t="s">
        <v>73</v>
      </c>
    </row>
    <row r="117" spans="1:28" ht="15.75" x14ac:dyDescent="0.25">
      <c r="B117" s="20" t="s">
        <v>69</v>
      </c>
      <c r="G117" s="6" t="s">
        <v>33</v>
      </c>
      <c r="M117" s="10"/>
      <c r="N117" s="10"/>
      <c r="O117" s="10"/>
      <c r="P117" s="23"/>
      <c r="Y117" s="4"/>
    </row>
    <row r="118" spans="1:28" x14ac:dyDescent="0.25">
      <c r="A118" s="21" t="s">
        <v>70</v>
      </c>
      <c r="B118" s="17"/>
      <c r="H118" s="3" t="s">
        <v>20</v>
      </c>
      <c r="I118" s="4" t="s">
        <v>34</v>
      </c>
      <c r="M118" s="10"/>
      <c r="N118" s="10"/>
      <c r="O118" s="10"/>
      <c r="P118" s="23"/>
      <c r="Y118" s="4" t="s">
        <v>70</v>
      </c>
      <c r="Z118">
        <v>1.7</v>
      </c>
      <c r="AA118">
        <f>B118</f>
        <v>0</v>
      </c>
      <c r="AB118">
        <f t="shared" ref="AB118" si="22">Z118*AA118</f>
        <v>0</v>
      </c>
    </row>
    <row r="119" spans="1:28" x14ac:dyDescent="0.25">
      <c r="A119" s="22" t="s">
        <v>72</v>
      </c>
      <c r="B119" s="18"/>
      <c r="G119" s="2" t="s">
        <v>35</v>
      </c>
      <c r="H119" s="3">
        <f>(B96+B97+B100+B101)*0.22222</f>
        <v>0</v>
      </c>
      <c r="I119" s="9">
        <f>(H119/18)*1.1</f>
        <v>0</v>
      </c>
      <c r="J119" s="9"/>
      <c r="M119" s="10"/>
      <c r="N119" s="10"/>
      <c r="O119" s="10"/>
      <c r="P119" s="23"/>
    </row>
    <row r="120" spans="1:28" x14ac:dyDescent="0.25">
      <c r="B120" s="18"/>
      <c r="G120" s="2" t="s">
        <v>36</v>
      </c>
      <c r="H120" s="3">
        <f>(B96+B97+B100+B101)*0.25</f>
        <v>0</v>
      </c>
      <c r="I120" s="9">
        <f>(H120/18)*1.1</f>
        <v>0</v>
      </c>
      <c r="J120" s="9"/>
      <c r="AB120">
        <f>SUM(AB96:AB118)</f>
        <v>0</v>
      </c>
    </row>
    <row r="121" spans="1:28" x14ac:dyDescent="0.25">
      <c r="A121" s="21" t="s">
        <v>82</v>
      </c>
      <c r="B121" s="17"/>
      <c r="C121" s="25" t="s">
        <v>83</v>
      </c>
    </row>
    <row r="122" spans="1:28" x14ac:dyDescent="0.25">
      <c r="A122" s="21" t="s">
        <v>84</v>
      </c>
      <c r="B122" s="17"/>
      <c r="C122" s="25" t="s">
        <v>98</v>
      </c>
    </row>
    <row r="123" spans="1:28" x14ac:dyDescent="0.25">
      <c r="A123" s="27" t="s">
        <v>96</v>
      </c>
      <c r="B123" s="24"/>
      <c r="C123" s="26" t="s">
        <v>97</v>
      </c>
    </row>
    <row r="125" spans="1:28" x14ac:dyDescent="0.25">
      <c r="P125" s="12"/>
      <c r="Q125" s="14">
        <f>SUM(Q96:Q121)</f>
        <v>0</v>
      </c>
      <c r="R125" s="14">
        <f t="shared" ref="R125" si="23">SUM(R96:R121)</f>
        <v>0</v>
      </c>
      <c r="S125" s="14">
        <f t="shared" ref="S125" si="24">SUM(S96:S121)</f>
        <v>0</v>
      </c>
      <c r="T125" s="14">
        <f t="shared" ref="T125" si="25">SUM(T96:T121)</f>
        <v>0</v>
      </c>
      <c r="U125" s="14">
        <f t="shared" ref="U125" si="26">SUM(U96:U121)</f>
        <v>0</v>
      </c>
      <c r="V125" s="14">
        <f t="shared" ref="V125" si="27">SUM(V96:V121)</f>
        <v>0</v>
      </c>
      <c r="W125" s="14">
        <f t="shared" ref="W125" si="28">SUM(W96:W121)</f>
        <v>0</v>
      </c>
      <c r="X125" s="14">
        <f t="shared" ref="X125" si="29">SUM(X96:X121)</f>
        <v>0</v>
      </c>
    </row>
    <row r="126" spans="1:28" x14ac:dyDescent="0.25">
      <c r="A126" s="13" t="s">
        <v>66</v>
      </c>
      <c r="B126" s="13" t="s">
        <v>56</v>
      </c>
      <c r="C126" s="14">
        <f>SUMIF(Q127:Q134,B126,R127:R134)/((100-B127)/100)</f>
        <v>0</v>
      </c>
      <c r="D126" s="14"/>
    </row>
    <row r="127" spans="1:28" x14ac:dyDescent="0.25">
      <c r="A127" s="13" t="s">
        <v>169</v>
      </c>
      <c r="B127" s="13">
        <v>0</v>
      </c>
      <c r="C127" s="1"/>
      <c r="D127" s="1"/>
      <c r="Q127" s="13" t="s">
        <v>56</v>
      </c>
      <c r="R127" s="11">
        <f>Q125/((100-B131)/100)</f>
        <v>0</v>
      </c>
    </row>
    <row r="128" spans="1:28" x14ac:dyDescent="0.25">
      <c r="Q128" s="13" t="s">
        <v>55</v>
      </c>
      <c r="R128" s="11">
        <f>R125/((100-B131)/100)</f>
        <v>0</v>
      </c>
    </row>
    <row r="129" spans="1:28" x14ac:dyDescent="0.25">
      <c r="A129" s="13" t="s">
        <v>76</v>
      </c>
      <c r="C129" s="37">
        <f>AB120*((100+B130)/100)</f>
        <v>0</v>
      </c>
      <c r="Q129" s="13" t="s">
        <v>57</v>
      </c>
      <c r="R129" s="11">
        <f>S125/((100-B131)/100)</f>
        <v>0</v>
      </c>
    </row>
    <row r="130" spans="1:28" x14ac:dyDescent="0.25">
      <c r="A130" s="13" t="s">
        <v>154</v>
      </c>
      <c r="B130" s="4">
        <v>0</v>
      </c>
      <c r="Q130" s="13" t="s">
        <v>58</v>
      </c>
      <c r="R130" s="11">
        <f>T125/((100-B131)/100)</f>
        <v>0</v>
      </c>
    </row>
    <row r="131" spans="1:28" x14ac:dyDescent="0.25">
      <c r="Q131" s="13" t="s">
        <v>59</v>
      </c>
      <c r="R131" s="11">
        <f>U125/((100-B131)/100)</f>
        <v>0</v>
      </c>
    </row>
    <row r="132" spans="1:28" x14ac:dyDescent="0.25">
      <c r="Q132" s="13" t="s">
        <v>61</v>
      </c>
      <c r="R132" s="11">
        <f>V125/((100-B131)/100)</f>
        <v>0</v>
      </c>
    </row>
    <row r="133" spans="1:28" x14ac:dyDescent="0.25">
      <c r="Q133" s="13" t="s">
        <v>62</v>
      </c>
      <c r="R133" s="11">
        <f>W125/((100-B131)/100)</f>
        <v>0</v>
      </c>
    </row>
    <row r="134" spans="1:28" x14ac:dyDescent="0.25">
      <c r="Q134" s="13" t="s">
        <v>63</v>
      </c>
      <c r="R134" s="11">
        <f>X125/((100-B131)/100)</f>
        <v>0</v>
      </c>
    </row>
    <row r="135" spans="1:28" x14ac:dyDescent="0.25">
      <c r="A135" s="13" t="s">
        <v>109</v>
      </c>
      <c r="B135" s="13" t="s">
        <v>79</v>
      </c>
    </row>
    <row r="136" spans="1:28" x14ac:dyDescent="0.25">
      <c r="A136" s="13" t="s">
        <v>99</v>
      </c>
    </row>
    <row r="137" spans="1:28" ht="15.75" x14ac:dyDescent="0.25">
      <c r="G137" s="5" t="s">
        <v>0</v>
      </c>
    </row>
    <row r="138" spans="1:28" ht="15.75" x14ac:dyDescent="0.25">
      <c r="A138" s="13" t="s">
        <v>1</v>
      </c>
      <c r="B138" s="16" t="s">
        <v>2</v>
      </c>
      <c r="G138" s="6"/>
      <c r="H138" s="7" t="s">
        <v>3</v>
      </c>
      <c r="K138" s="8"/>
      <c r="L138" s="8"/>
      <c r="M138" s="8"/>
      <c r="N138" s="8"/>
      <c r="O138" s="8"/>
      <c r="P138" s="6"/>
      <c r="Q138" s="1" t="s">
        <v>56</v>
      </c>
      <c r="R138" s="1" t="s">
        <v>55</v>
      </c>
      <c r="S138" s="12" t="s">
        <v>57</v>
      </c>
      <c r="T138" s="13" t="s">
        <v>58</v>
      </c>
      <c r="U138" s="13" t="s">
        <v>59</v>
      </c>
      <c r="V138" s="13" t="s">
        <v>61</v>
      </c>
      <c r="W138" s="13" t="s">
        <v>62</v>
      </c>
      <c r="X138" s="13" t="s">
        <v>63</v>
      </c>
      <c r="Z138" s="13" t="s">
        <v>554</v>
      </c>
      <c r="AA138" s="13" t="s">
        <v>198</v>
      </c>
      <c r="AB138" s="13" t="s">
        <v>209</v>
      </c>
    </row>
    <row r="139" spans="1:28" x14ac:dyDescent="0.25">
      <c r="A139" s="17" t="s">
        <v>4</v>
      </c>
      <c r="B139" s="17"/>
      <c r="G139" s="2" t="s">
        <v>5</v>
      </c>
      <c r="H139" s="3">
        <f>(((B139*2)+(B140*4)+(B143*2)+(B144*4))+((B153*C153)*2)+(B146)+(B155))*1.1</f>
        <v>0</v>
      </c>
      <c r="M139" s="10"/>
      <c r="N139" s="10"/>
      <c r="O139" s="10"/>
      <c r="P139" s="23" t="s">
        <v>86</v>
      </c>
      <c r="Q139" s="11">
        <f>H139*$M$7</f>
        <v>0</v>
      </c>
      <c r="R139" s="11">
        <f>H139*$M$7</f>
        <v>0</v>
      </c>
      <c r="S139" s="11">
        <f>H139*$M$7</f>
        <v>0</v>
      </c>
      <c r="T139" s="11">
        <f>H139*$M$7</f>
        <v>0</v>
      </c>
      <c r="U139" s="11">
        <f>H139*($M$7/2)+(H139*$M$25/2)</f>
        <v>0</v>
      </c>
      <c r="V139" s="11">
        <f>H139*($M$7/2)+(H139*$M$25/2)</f>
        <v>0</v>
      </c>
      <c r="W139" s="11">
        <f>H139*($M$7/2)+(H139*$M$25/2)</f>
        <v>0</v>
      </c>
      <c r="X139" s="11">
        <f>H139*($M$7/2)+(H139*$M$25/2)</f>
        <v>0</v>
      </c>
      <c r="Y139" s="4" t="s">
        <v>4</v>
      </c>
      <c r="Z139">
        <v>27.9</v>
      </c>
      <c r="AA139">
        <f>B139</f>
        <v>0</v>
      </c>
      <c r="AB139">
        <f>Z139*AA139</f>
        <v>0</v>
      </c>
    </row>
    <row r="140" spans="1:28" x14ac:dyDescent="0.25">
      <c r="A140" s="17" t="s">
        <v>6</v>
      </c>
      <c r="B140" s="17"/>
      <c r="G140" s="2" t="s">
        <v>7</v>
      </c>
      <c r="H140" s="3">
        <f>(((B139+B140+(B143*2)+(B144*2))*1.667)+(B153*1.667*C153))*1.1</f>
        <v>0</v>
      </c>
      <c r="I140" s="4" t="s">
        <v>8</v>
      </c>
      <c r="M140" s="10"/>
      <c r="N140" s="10"/>
      <c r="O140" s="10"/>
      <c r="P140" s="23" t="s">
        <v>87</v>
      </c>
      <c r="Q140" s="11">
        <f>H140*$M$10</f>
        <v>0</v>
      </c>
      <c r="R140" s="11">
        <f>H140*$M$13</f>
        <v>0</v>
      </c>
      <c r="S140" s="11">
        <f>H140*$M$19</f>
        <v>0</v>
      </c>
      <c r="T140" s="11">
        <f>H140*$M$21</f>
        <v>0</v>
      </c>
      <c r="U140" s="11">
        <f>H140*$M$10</f>
        <v>0</v>
      </c>
      <c r="V140" s="11">
        <f>H140*$M$13</f>
        <v>0</v>
      </c>
      <c r="W140" s="11">
        <f>H140*$M$19</f>
        <v>0</v>
      </c>
      <c r="X140" s="11">
        <f>H140*$M$21</f>
        <v>0</v>
      </c>
      <c r="Y140" s="4" t="s">
        <v>6</v>
      </c>
      <c r="Z140">
        <v>37.44</v>
      </c>
      <c r="AA140">
        <f>B140</f>
        <v>0</v>
      </c>
      <c r="AB140">
        <f>Z140*AA140</f>
        <v>0</v>
      </c>
    </row>
    <row r="141" spans="1:28" x14ac:dyDescent="0.25">
      <c r="B141" s="18"/>
      <c r="G141" s="2" t="s">
        <v>9</v>
      </c>
      <c r="H141" s="3">
        <f>(((B139+B140+B143+B144)*0.667)+(B153*2))*1.1</f>
        <v>0</v>
      </c>
      <c r="I141" s="9">
        <f>((B139+B140+B143+B144)*1.666667)*1.1</f>
        <v>0</v>
      </c>
      <c r="J141" s="9"/>
      <c r="M141" s="10"/>
      <c r="N141" s="10"/>
      <c r="O141" s="10"/>
      <c r="P141" s="23" t="s">
        <v>88</v>
      </c>
      <c r="Q141" s="11">
        <f>H141*$M$11</f>
        <v>0</v>
      </c>
      <c r="R141" s="11">
        <f>H141*$M$14</f>
        <v>0</v>
      </c>
      <c r="S141" s="11">
        <f>H141*$M$20</f>
        <v>0</v>
      </c>
      <c r="T141" s="11">
        <f>H141*$M$22</f>
        <v>0</v>
      </c>
      <c r="U141" s="11">
        <f>H141*$M$11</f>
        <v>0</v>
      </c>
      <c r="V141" s="11">
        <f>H141*$M$14</f>
        <v>0</v>
      </c>
      <c r="W141" s="11">
        <f>H141*$M$20</f>
        <v>0</v>
      </c>
      <c r="X141" s="11">
        <f>H141*$M$22</f>
        <v>0</v>
      </c>
      <c r="Y141" s="4"/>
    </row>
    <row r="142" spans="1:28" x14ac:dyDescent="0.25">
      <c r="A142" s="13" t="s">
        <v>10</v>
      </c>
      <c r="B142" s="18"/>
      <c r="G142" s="2" t="s">
        <v>11</v>
      </c>
      <c r="H142" s="3">
        <f>(B139+B140+B143+B144)*1.1</f>
        <v>0</v>
      </c>
      <c r="M142" s="10"/>
      <c r="N142" s="10"/>
      <c r="O142" s="10"/>
      <c r="P142" s="23" t="s">
        <v>89</v>
      </c>
      <c r="Q142" s="11">
        <f>+H142*$M$16</f>
        <v>0</v>
      </c>
      <c r="R142" s="11">
        <f>+H142*$M$16</f>
        <v>0</v>
      </c>
      <c r="S142" s="11">
        <f>+H142*$M$16</f>
        <v>0</v>
      </c>
      <c r="T142" s="11">
        <f>+H142*$M$16</f>
        <v>0</v>
      </c>
      <c r="U142" s="11">
        <f>+H142*$M$16</f>
        <v>0</v>
      </c>
      <c r="V142" s="11">
        <f>+H142*$M$16</f>
        <v>0</v>
      </c>
      <c r="W142" s="11">
        <f>+H142*$M$16</f>
        <v>0</v>
      </c>
      <c r="X142" s="11">
        <f>+H142*$M$16</f>
        <v>0</v>
      </c>
      <c r="Y142" s="4" t="s">
        <v>10</v>
      </c>
    </row>
    <row r="143" spans="1:28" x14ac:dyDescent="0.25">
      <c r="A143" s="17" t="s">
        <v>12</v>
      </c>
      <c r="B143" s="17"/>
      <c r="G143" s="2" t="s">
        <v>13</v>
      </c>
      <c r="H143" s="3">
        <f>(((B139+(B140*2)+B143+(B144*2))*30)+(B153*C153*30*2)+(B155*30))*1.1</f>
        <v>0</v>
      </c>
      <c r="I143" s="105">
        <f>H143/1000</f>
        <v>0</v>
      </c>
      <c r="J143" s="106">
        <f>ROUNDUP(I143,0)</f>
        <v>0</v>
      </c>
      <c r="M143" s="10"/>
      <c r="N143" s="10"/>
      <c r="O143" s="10"/>
      <c r="P143" s="23" t="s">
        <v>90</v>
      </c>
      <c r="Q143" s="11">
        <f>$J$143*$M$30</f>
        <v>0</v>
      </c>
      <c r="R143" s="11">
        <f t="shared" ref="R143:X143" si="30">$J$143*$M$30</f>
        <v>0</v>
      </c>
      <c r="S143" s="11">
        <f t="shared" si="30"/>
        <v>0</v>
      </c>
      <c r="T143" s="11">
        <f t="shared" si="30"/>
        <v>0</v>
      </c>
      <c r="U143" s="11">
        <f t="shared" si="30"/>
        <v>0</v>
      </c>
      <c r="V143" s="11">
        <f t="shared" si="30"/>
        <v>0</v>
      </c>
      <c r="W143" s="11">
        <f t="shared" si="30"/>
        <v>0</v>
      </c>
      <c r="X143" s="11">
        <f t="shared" si="30"/>
        <v>0</v>
      </c>
      <c r="Y143" s="4" t="s">
        <v>12</v>
      </c>
      <c r="Z143">
        <v>30.96</v>
      </c>
      <c r="AA143">
        <f>B143</f>
        <v>0</v>
      </c>
      <c r="AB143">
        <f t="shared" ref="AB143:AB144" si="31">Z143*AA143</f>
        <v>0</v>
      </c>
    </row>
    <row r="144" spans="1:28" x14ac:dyDescent="0.25">
      <c r="A144" s="17" t="s">
        <v>14</v>
      </c>
      <c r="B144" s="17"/>
      <c r="G144" s="2" t="s">
        <v>15</v>
      </c>
      <c r="H144" s="3">
        <f>(H141*0.4)*1.1</f>
        <v>0</v>
      </c>
      <c r="M144" s="10"/>
      <c r="N144" s="10"/>
      <c r="O144" s="10"/>
      <c r="P144" s="23" t="s">
        <v>92</v>
      </c>
      <c r="Q144" s="11">
        <f>B164*$M$26</f>
        <v>0</v>
      </c>
      <c r="R144" s="11">
        <f>B164*$M$26</f>
        <v>0</v>
      </c>
      <c r="S144" s="11">
        <f>B164*$M$26</f>
        <v>0</v>
      </c>
      <c r="T144" s="11">
        <f>B164*$M$26</f>
        <v>0</v>
      </c>
      <c r="U144" s="11">
        <f>B164*$M$26</f>
        <v>0</v>
      </c>
      <c r="V144" s="11">
        <f>B164*$M$26</f>
        <v>0</v>
      </c>
      <c r="W144" s="11">
        <f>B164*$M$26</f>
        <v>0</v>
      </c>
      <c r="X144" s="11">
        <f>B164*$M$26</f>
        <v>0</v>
      </c>
      <c r="Y144" s="4" t="s">
        <v>14</v>
      </c>
      <c r="Z144">
        <v>40.32</v>
      </c>
      <c r="AA144">
        <f>B144</f>
        <v>0</v>
      </c>
      <c r="AB144">
        <f t="shared" si="31"/>
        <v>0</v>
      </c>
    </row>
    <row r="145" spans="1:28" x14ac:dyDescent="0.25">
      <c r="B145" s="18"/>
      <c r="G145" s="2" t="s">
        <v>71</v>
      </c>
      <c r="H145" s="3">
        <f>(8*B150+B161)*1.1</f>
        <v>0</v>
      </c>
      <c r="M145" s="10"/>
      <c r="N145" s="10"/>
      <c r="O145" s="10"/>
      <c r="P145" s="23" t="s">
        <v>85</v>
      </c>
      <c r="Q145" s="11">
        <f>+H145*$M$12</f>
        <v>0</v>
      </c>
      <c r="R145" s="11">
        <f>+H145*$M$15</f>
        <v>0</v>
      </c>
      <c r="S145" s="11">
        <f>+H145*$M$12</f>
        <v>0</v>
      </c>
      <c r="T145" s="11">
        <f>+H145*$M$12</f>
        <v>0</v>
      </c>
      <c r="U145" s="11">
        <f>+H145*$M$12</f>
        <v>0</v>
      </c>
      <c r="V145" s="11">
        <f>+H145*$M$15</f>
        <v>0</v>
      </c>
      <c r="W145" s="11">
        <f>+H145*$M$12</f>
        <v>0</v>
      </c>
      <c r="X145" s="11">
        <f>+H145*$M$12</f>
        <v>0</v>
      </c>
      <c r="Y145" s="4"/>
    </row>
    <row r="146" spans="1:28" x14ac:dyDescent="0.25">
      <c r="A146" s="21" t="s">
        <v>77</v>
      </c>
      <c r="B146" s="17"/>
      <c r="G146" s="2" t="s">
        <v>16</v>
      </c>
      <c r="H146" s="3">
        <f>(B150*6)</f>
        <v>0</v>
      </c>
      <c r="M146" s="10"/>
      <c r="N146" s="10"/>
      <c r="O146" s="10"/>
      <c r="P146" s="23" t="s">
        <v>84</v>
      </c>
      <c r="Q146" s="11">
        <f>B165*$M$27</f>
        <v>0</v>
      </c>
      <c r="R146" s="11">
        <f>B165*$M$27</f>
        <v>0</v>
      </c>
      <c r="S146" s="11">
        <f>B165*$M$27</f>
        <v>0</v>
      </c>
      <c r="T146" s="11">
        <f>B165*$M$27</f>
        <v>0</v>
      </c>
      <c r="U146" s="11">
        <f>B165*$M$27</f>
        <v>0</v>
      </c>
      <c r="V146" s="11">
        <f>B165*$M$27</f>
        <v>0</v>
      </c>
      <c r="W146" s="11">
        <f>B165*$M$27</f>
        <v>0</v>
      </c>
      <c r="X146" s="11">
        <f>B165*$M$27</f>
        <v>0</v>
      </c>
      <c r="Y146" s="4" t="s">
        <v>77</v>
      </c>
      <c r="Z146">
        <v>16.2</v>
      </c>
      <c r="AA146">
        <f>B146</f>
        <v>0</v>
      </c>
      <c r="AB146">
        <f t="shared" ref="AB146:AB149" si="32">Z146*AA146</f>
        <v>0</v>
      </c>
    </row>
    <row r="147" spans="1:28" x14ac:dyDescent="0.25">
      <c r="A147" s="21" t="s">
        <v>78</v>
      </c>
      <c r="B147" s="17"/>
      <c r="G147" s="2" t="s">
        <v>17</v>
      </c>
      <c r="H147" s="3">
        <f>H141/0.3</f>
        <v>0</v>
      </c>
      <c r="M147" s="10"/>
      <c r="N147" s="10"/>
      <c r="O147" s="10"/>
      <c r="P147" s="23" t="s">
        <v>68</v>
      </c>
      <c r="Q147" s="11">
        <f>H152*$M$28</f>
        <v>0</v>
      </c>
      <c r="R147" s="11">
        <f>H152*$M$28</f>
        <v>0</v>
      </c>
      <c r="S147" s="11">
        <f>H152*$M$28</f>
        <v>0</v>
      </c>
      <c r="T147" s="11">
        <f>H152*$M$28</f>
        <v>0</v>
      </c>
      <c r="U147" s="11">
        <f>H152*$M$28</f>
        <v>0</v>
      </c>
      <c r="V147" s="11">
        <f>H152*$M$28</f>
        <v>0</v>
      </c>
      <c r="W147" s="11">
        <f>H152*$M$28</f>
        <v>0</v>
      </c>
      <c r="X147" s="11">
        <f>H152*$M$28</f>
        <v>0</v>
      </c>
      <c r="Y147" s="4" t="s">
        <v>78</v>
      </c>
      <c r="Z147">
        <v>18</v>
      </c>
      <c r="AA147">
        <f>B147</f>
        <v>0</v>
      </c>
      <c r="AB147">
        <f t="shared" si="32"/>
        <v>0</v>
      </c>
    </row>
    <row r="148" spans="1:28" x14ac:dyDescent="0.25">
      <c r="B148" s="19"/>
      <c r="G148" s="2" t="s">
        <v>570</v>
      </c>
      <c r="H148" s="3">
        <f>B155*1.1</f>
        <v>0</v>
      </c>
      <c r="M148" s="10"/>
      <c r="N148" s="10"/>
      <c r="O148" s="10"/>
      <c r="P148" s="23" t="s">
        <v>91</v>
      </c>
      <c r="Q148" s="11">
        <f>B147*(18*0.014)*$M$25*1.1</f>
        <v>0</v>
      </c>
      <c r="R148" s="11">
        <f>B147*$M$25*1.1</f>
        <v>0</v>
      </c>
      <c r="S148" s="11">
        <f>B147*$M$25*1.1</f>
        <v>0</v>
      </c>
      <c r="T148" s="11">
        <f>B147*$M$25*1.1</f>
        <v>0</v>
      </c>
      <c r="U148" s="11">
        <f>B147*$M$25*1.1</f>
        <v>0</v>
      </c>
      <c r="V148" s="11">
        <f>B147*$M$25*1.1</f>
        <v>0</v>
      </c>
      <c r="W148" s="11">
        <f>B147*$M$25*1.1</f>
        <v>0</v>
      </c>
      <c r="X148" s="11">
        <f>B147*$M$25*1.1</f>
        <v>0</v>
      </c>
      <c r="Y148" s="4" t="s">
        <v>567</v>
      </c>
      <c r="Z148">
        <v>18.5</v>
      </c>
      <c r="AA148">
        <f>B155</f>
        <v>0</v>
      </c>
      <c r="AB148">
        <f t="shared" si="32"/>
        <v>0</v>
      </c>
    </row>
    <row r="149" spans="1:28" ht="15.75" x14ac:dyDescent="0.25">
      <c r="B149" s="16" t="s">
        <v>18</v>
      </c>
      <c r="G149" s="6" t="s">
        <v>19</v>
      </c>
      <c r="H149" s="3" t="s">
        <v>20</v>
      </c>
      <c r="I149" s="4" t="s">
        <v>21</v>
      </c>
      <c r="M149" s="10"/>
      <c r="N149" s="10"/>
      <c r="O149" s="10"/>
      <c r="P149" s="23" t="s">
        <v>96</v>
      </c>
      <c r="Q149" s="11">
        <f>$B$166</f>
        <v>0</v>
      </c>
      <c r="R149" s="11">
        <f t="shared" ref="R149:X149" si="33">$B$166</f>
        <v>0</v>
      </c>
      <c r="S149" s="11">
        <f t="shared" si="33"/>
        <v>0</v>
      </c>
      <c r="T149" s="11">
        <f t="shared" si="33"/>
        <v>0</v>
      </c>
      <c r="U149" s="11">
        <f t="shared" si="33"/>
        <v>0</v>
      </c>
      <c r="V149" s="11">
        <f t="shared" si="33"/>
        <v>0</v>
      </c>
      <c r="W149" s="11">
        <f t="shared" si="33"/>
        <v>0</v>
      </c>
      <c r="X149" s="11">
        <f t="shared" si="33"/>
        <v>0</v>
      </c>
      <c r="Y149" s="4" t="s">
        <v>568</v>
      </c>
      <c r="Z149">
        <v>11.98</v>
      </c>
      <c r="AA149">
        <f>B156</f>
        <v>0</v>
      </c>
      <c r="AB149">
        <f t="shared" si="32"/>
        <v>0</v>
      </c>
    </row>
    <row r="150" spans="1:28" x14ac:dyDescent="0.25">
      <c r="A150" s="21" t="s">
        <v>22</v>
      </c>
      <c r="B150" s="17"/>
      <c r="G150" s="2" t="s">
        <v>23</v>
      </c>
      <c r="H150" s="3">
        <f>(((B139+B140+B143+B144+B155)*2)*0.25*0.3)+(B146*0.32*1.1)</f>
        <v>0</v>
      </c>
      <c r="I150" s="9">
        <f>H150/10</f>
        <v>0</v>
      </c>
      <c r="J150" s="9"/>
      <c r="M150" s="10"/>
      <c r="N150" s="10"/>
      <c r="O150" s="10"/>
      <c r="P150" s="23" t="s">
        <v>23</v>
      </c>
      <c r="Q150" s="11">
        <f>+I150*$M$23</f>
        <v>0</v>
      </c>
      <c r="R150" s="11">
        <f>+I150*$M$23</f>
        <v>0</v>
      </c>
      <c r="S150" s="11">
        <f>+I150*$M$23</f>
        <v>0</v>
      </c>
      <c r="T150" s="11">
        <f>+I150*$M$23</f>
        <v>0</v>
      </c>
      <c r="U150" s="11">
        <f>+I150*$M$23</f>
        <v>0</v>
      </c>
      <c r="V150" s="11">
        <f>+I150*$M$23</f>
        <v>0</v>
      </c>
      <c r="W150" s="11">
        <f>+I150*$M$23</f>
        <v>0</v>
      </c>
      <c r="X150" s="11">
        <f>+I150*$M$23</f>
        <v>0</v>
      </c>
      <c r="Y150" s="4" t="s">
        <v>22</v>
      </c>
      <c r="Z150">
        <v>16.38</v>
      </c>
      <c r="AA150">
        <f>B150</f>
        <v>0</v>
      </c>
      <c r="AB150">
        <f t="shared" ref="AB150" si="34">Z150*AA150</f>
        <v>0</v>
      </c>
    </row>
    <row r="151" spans="1:28" x14ac:dyDescent="0.25">
      <c r="B151" s="19"/>
      <c r="G151" s="2" t="s">
        <v>24</v>
      </c>
      <c r="H151" s="3">
        <f>(((B139+B140+B143+B144+B155)*2)*0.25*0.3)+(B146*0.32*1.1)</f>
        <v>0</v>
      </c>
      <c r="I151" s="9">
        <f>H151/10</f>
        <v>0</v>
      </c>
      <c r="J151" s="9"/>
      <c r="M151" s="10"/>
      <c r="N151" s="10"/>
      <c r="O151" s="10"/>
      <c r="P151" s="23" t="s">
        <v>24</v>
      </c>
      <c r="Q151" s="11">
        <f>+I151*$M$24</f>
        <v>0</v>
      </c>
      <c r="R151" s="11">
        <f>+I151*$M$24</f>
        <v>0</v>
      </c>
      <c r="S151" s="11">
        <f>+I151*$M$24</f>
        <v>0</v>
      </c>
      <c r="T151" s="11">
        <f>+I151*$M$24</f>
        <v>0</v>
      </c>
      <c r="U151" s="11">
        <f>+I151*$M$24</f>
        <v>0</v>
      </c>
      <c r="V151" s="11">
        <f>+I151*$M$24</f>
        <v>0</v>
      </c>
      <c r="W151" s="11">
        <f>+I151*$M$24</f>
        <v>0</v>
      </c>
      <c r="X151" s="11">
        <f>+I151*$M$24</f>
        <v>0</v>
      </c>
      <c r="Y151" s="4"/>
    </row>
    <row r="152" spans="1:28" x14ac:dyDescent="0.25">
      <c r="A152" s="13"/>
      <c r="B152" s="16" t="s">
        <v>25</v>
      </c>
      <c r="C152" s="1" t="s">
        <v>26</v>
      </c>
      <c r="D152" s="1"/>
      <c r="G152" s="2" t="s">
        <v>68</v>
      </c>
      <c r="H152" s="3">
        <f>B158/3</f>
        <v>0</v>
      </c>
      <c r="M152" s="10"/>
      <c r="N152" s="10"/>
      <c r="O152" s="10"/>
      <c r="P152" s="23" t="s">
        <v>570</v>
      </c>
      <c r="Q152" s="11">
        <f>$B$155*$M$29</f>
        <v>0</v>
      </c>
      <c r="R152" s="11">
        <f t="shared" ref="R152:X152" si="35">$B$155*$M$29</f>
        <v>0</v>
      </c>
      <c r="S152" s="11">
        <f t="shared" si="35"/>
        <v>0</v>
      </c>
      <c r="T152" s="11">
        <f t="shared" si="35"/>
        <v>0</v>
      </c>
      <c r="U152" s="11">
        <f t="shared" si="35"/>
        <v>0</v>
      </c>
      <c r="V152" s="11">
        <f t="shared" si="35"/>
        <v>0</v>
      </c>
      <c r="W152" s="11">
        <f t="shared" si="35"/>
        <v>0</v>
      </c>
      <c r="X152" s="11">
        <f t="shared" si="35"/>
        <v>0</v>
      </c>
      <c r="Y152" s="4"/>
    </row>
    <row r="153" spans="1:28" ht="15.75" x14ac:dyDescent="0.25">
      <c r="A153" s="21" t="s">
        <v>94</v>
      </c>
      <c r="B153" s="17"/>
      <c r="C153" s="15"/>
      <c r="G153" s="6" t="s">
        <v>27</v>
      </c>
      <c r="H153" s="3" t="s">
        <v>28</v>
      </c>
      <c r="I153" s="4" t="s">
        <v>29</v>
      </c>
      <c r="M153" s="10"/>
      <c r="N153" s="10"/>
      <c r="O153" s="10"/>
      <c r="P153" s="23"/>
      <c r="Y153" s="4" t="s">
        <v>94</v>
      </c>
      <c r="Z153">
        <v>37.44</v>
      </c>
      <c r="AA153">
        <f>B153</f>
        <v>0</v>
      </c>
      <c r="AB153">
        <f t="shared" ref="AB153:AB154" si="36">Z153*AA153</f>
        <v>0</v>
      </c>
    </row>
    <row r="154" spans="1:28" x14ac:dyDescent="0.25">
      <c r="B154" s="19"/>
      <c r="G154" s="2" t="s">
        <v>30</v>
      </c>
      <c r="H154" s="3">
        <f>(B139+B140+B143+B144)*2*2.4</f>
        <v>0</v>
      </c>
      <c r="I154" s="4">
        <f>H154/20</f>
        <v>0</v>
      </c>
      <c r="M154" s="10"/>
      <c r="N154" s="10"/>
      <c r="O154" s="10"/>
      <c r="P154" s="23"/>
      <c r="Y154" s="4"/>
      <c r="AA154" s="33">
        <f>(H150+H151)/0.2</f>
        <v>0</v>
      </c>
      <c r="AB154">
        <f t="shared" si="36"/>
        <v>0</v>
      </c>
    </row>
    <row r="155" spans="1:28" x14ac:dyDescent="0.25">
      <c r="A155" s="21" t="s">
        <v>567</v>
      </c>
      <c r="B155" s="17"/>
      <c r="M155" s="10"/>
      <c r="N155" s="10"/>
      <c r="O155" s="10"/>
      <c r="P155" s="23"/>
      <c r="Y155" s="4" t="s">
        <v>567</v>
      </c>
      <c r="AA155" s="33"/>
    </row>
    <row r="156" spans="1:28" x14ac:dyDescent="0.25">
      <c r="A156" s="21" t="s">
        <v>568</v>
      </c>
      <c r="B156" s="17"/>
      <c r="M156" s="10"/>
      <c r="N156" s="10"/>
      <c r="O156" s="10"/>
      <c r="P156" s="23"/>
      <c r="Y156" s="4" t="s">
        <v>568</v>
      </c>
      <c r="AA156" s="33"/>
    </row>
    <row r="157" spans="1:28" x14ac:dyDescent="0.25">
      <c r="B157" s="16" t="s">
        <v>69</v>
      </c>
      <c r="G157" s="2" t="s">
        <v>31</v>
      </c>
      <c r="H157" s="3">
        <f>(B139+B140+B143+B144)*2*2.4</f>
        <v>0</v>
      </c>
      <c r="I157" s="4">
        <f>H157/20</f>
        <v>0</v>
      </c>
      <c r="M157" s="10"/>
      <c r="N157" s="10"/>
      <c r="O157" s="10"/>
      <c r="P157" s="23"/>
      <c r="Y157" s="4"/>
    </row>
    <row r="158" spans="1:28" x14ac:dyDescent="0.25">
      <c r="A158" s="21" t="s">
        <v>68</v>
      </c>
      <c r="B158" s="17"/>
      <c r="G158" s="2" t="s">
        <v>32</v>
      </c>
      <c r="H158" s="3">
        <f>(B139+B140+B143+B144)*2*0.6</f>
        <v>0</v>
      </c>
      <c r="I158" s="4">
        <f>H158/10</f>
        <v>0</v>
      </c>
      <c r="M158" s="10"/>
      <c r="N158" s="10"/>
      <c r="O158" s="10"/>
      <c r="P158" s="23"/>
      <c r="Y158" s="4" t="s">
        <v>68</v>
      </c>
      <c r="AA158">
        <f>B158</f>
        <v>0</v>
      </c>
      <c r="AB158">
        <f t="shared" ref="AB158" si="37">Z158*AA158</f>
        <v>0</v>
      </c>
    </row>
    <row r="159" spans="1:28" x14ac:dyDescent="0.25">
      <c r="A159" s="22" t="s">
        <v>73</v>
      </c>
      <c r="B159" s="18"/>
      <c r="M159" s="10"/>
      <c r="N159" s="10"/>
      <c r="O159" s="10"/>
      <c r="P159" s="23"/>
      <c r="Y159" s="22" t="s">
        <v>73</v>
      </c>
    </row>
    <row r="160" spans="1:28" ht="15.75" x14ac:dyDescent="0.25">
      <c r="B160" s="20" t="s">
        <v>69</v>
      </c>
      <c r="G160" s="6" t="s">
        <v>33</v>
      </c>
      <c r="M160" s="10"/>
      <c r="N160" s="10"/>
      <c r="O160" s="10"/>
      <c r="P160" s="23"/>
      <c r="Y160" s="4"/>
    </row>
    <row r="161" spans="1:28" x14ac:dyDescent="0.25">
      <c r="A161" s="21" t="s">
        <v>70</v>
      </c>
      <c r="B161" s="17"/>
      <c r="H161" s="3" t="s">
        <v>20</v>
      </c>
      <c r="I161" s="4" t="s">
        <v>34</v>
      </c>
      <c r="M161" s="10"/>
      <c r="N161" s="10"/>
      <c r="O161" s="10"/>
      <c r="P161" s="23"/>
      <c r="Y161" s="4" t="s">
        <v>70</v>
      </c>
      <c r="Z161">
        <v>1.7</v>
      </c>
      <c r="AA161">
        <f>B161</f>
        <v>0</v>
      </c>
      <c r="AB161">
        <f t="shared" ref="AB161" si="38">Z161*AA161</f>
        <v>0</v>
      </c>
    </row>
    <row r="162" spans="1:28" x14ac:dyDescent="0.25">
      <c r="A162" s="22" t="s">
        <v>72</v>
      </c>
      <c r="B162" s="18"/>
      <c r="G162" s="2" t="s">
        <v>35</v>
      </c>
      <c r="H162" s="3">
        <f>(B139+B140+B143+B144)*0.22222</f>
        <v>0</v>
      </c>
      <c r="I162" s="9">
        <f>(H162/18)*1.1</f>
        <v>0</v>
      </c>
      <c r="J162" s="9"/>
      <c r="M162" s="10"/>
      <c r="N162" s="10"/>
      <c r="O162" s="10"/>
      <c r="P162" s="23"/>
    </row>
    <row r="163" spans="1:28" x14ac:dyDescent="0.25">
      <c r="B163" s="18"/>
      <c r="G163" s="2" t="s">
        <v>36</v>
      </c>
      <c r="H163" s="3">
        <f>(B139+B140+B143+B144)*0.25</f>
        <v>0</v>
      </c>
      <c r="I163" s="9">
        <f>(H163/18)*1.1</f>
        <v>0</v>
      </c>
      <c r="J163" s="9"/>
      <c r="AB163">
        <f>SUM(AB139:AB161)</f>
        <v>0</v>
      </c>
    </row>
    <row r="164" spans="1:28" x14ac:dyDescent="0.25">
      <c r="A164" s="21" t="s">
        <v>82</v>
      </c>
      <c r="B164" s="17"/>
      <c r="C164" s="25" t="s">
        <v>83</v>
      </c>
    </row>
    <row r="165" spans="1:28" x14ac:dyDescent="0.25">
      <c r="A165" s="21" t="s">
        <v>84</v>
      </c>
      <c r="B165" s="17"/>
      <c r="C165" s="25" t="s">
        <v>98</v>
      </c>
    </row>
    <row r="166" spans="1:28" x14ac:dyDescent="0.25">
      <c r="A166" s="27" t="s">
        <v>96</v>
      </c>
      <c r="B166" s="24"/>
      <c r="C166" s="26" t="s">
        <v>97</v>
      </c>
    </row>
    <row r="168" spans="1:28" x14ac:dyDescent="0.25">
      <c r="P168" s="12"/>
      <c r="Q168" s="14">
        <f>SUM(Q139:Q164)</f>
        <v>0</v>
      </c>
      <c r="R168" s="14">
        <f t="shared" ref="R168" si="39">SUM(R139:R164)</f>
        <v>0</v>
      </c>
      <c r="S168" s="14">
        <f t="shared" ref="S168" si="40">SUM(S139:S164)</f>
        <v>0</v>
      </c>
      <c r="T168" s="14">
        <f t="shared" ref="T168" si="41">SUM(T139:T164)</f>
        <v>0</v>
      </c>
      <c r="U168" s="14">
        <f t="shared" ref="U168" si="42">SUM(U139:U164)</f>
        <v>0</v>
      </c>
      <c r="V168" s="14">
        <f t="shared" ref="V168" si="43">SUM(V139:V164)</f>
        <v>0</v>
      </c>
      <c r="W168" s="14">
        <f t="shared" ref="W168" si="44">SUM(W139:W164)</f>
        <v>0</v>
      </c>
      <c r="X168" s="14">
        <f t="shared" ref="X168" si="45">SUM(X139:X164)</f>
        <v>0</v>
      </c>
    </row>
    <row r="169" spans="1:28" x14ac:dyDescent="0.25">
      <c r="A169" s="13" t="s">
        <v>66</v>
      </c>
      <c r="B169" s="13" t="s">
        <v>56</v>
      </c>
      <c r="C169" s="14">
        <f>SUMIF(Q170:Q177,B169,R170:R177)/((100-B170)/100)</f>
        <v>0</v>
      </c>
      <c r="D169" s="14"/>
    </row>
    <row r="170" spans="1:28" x14ac:dyDescent="0.25">
      <c r="A170" s="13" t="s">
        <v>169</v>
      </c>
      <c r="B170" s="13">
        <v>0</v>
      </c>
      <c r="C170" s="1"/>
      <c r="D170" s="1"/>
      <c r="Q170" s="13" t="s">
        <v>56</v>
      </c>
      <c r="R170" s="11">
        <f>Q168/((100-B174)/100)</f>
        <v>0</v>
      </c>
    </row>
    <row r="171" spans="1:28" x14ac:dyDescent="0.25">
      <c r="Q171" s="13" t="s">
        <v>55</v>
      </c>
      <c r="R171" s="11">
        <f>R168/((100-B174)/100)</f>
        <v>0</v>
      </c>
    </row>
    <row r="172" spans="1:28" x14ac:dyDescent="0.25">
      <c r="A172" s="13" t="s">
        <v>76</v>
      </c>
      <c r="C172" s="37">
        <f>AB163*((100+B173)/100)</f>
        <v>0</v>
      </c>
      <c r="Q172" s="13" t="s">
        <v>57</v>
      </c>
      <c r="R172" s="11">
        <f>S168/((100-B174)/100)</f>
        <v>0</v>
      </c>
    </row>
    <row r="173" spans="1:28" x14ac:dyDescent="0.25">
      <c r="A173" s="13" t="s">
        <v>154</v>
      </c>
      <c r="B173" s="4">
        <v>0</v>
      </c>
      <c r="Q173" s="13" t="s">
        <v>58</v>
      </c>
      <c r="R173" s="11">
        <f>T168/((100-B174)/100)</f>
        <v>0</v>
      </c>
    </row>
    <row r="174" spans="1:28" x14ac:dyDescent="0.25">
      <c r="Q174" s="13" t="s">
        <v>59</v>
      </c>
      <c r="R174" s="11">
        <f>U168/((100-B174)/100)</f>
        <v>0</v>
      </c>
    </row>
    <row r="175" spans="1:28" x14ac:dyDescent="0.25">
      <c r="Q175" s="13" t="s">
        <v>61</v>
      </c>
      <c r="R175" s="11">
        <f>V168/((100-B174)/100)</f>
        <v>0</v>
      </c>
    </row>
    <row r="176" spans="1:28" x14ac:dyDescent="0.25">
      <c r="Q176" s="13" t="s">
        <v>62</v>
      </c>
      <c r="R176" s="11">
        <f>W168/((100-B174)/100)</f>
        <v>0</v>
      </c>
    </row>
    <row r="177" spans="1:28" x14ac:dyDescent="0.25">
      <c r="Q177" s="13" t="s">
        <v>63</v>
      </c>
      <c r="R177" s="11">
        <f>X168/((100-B174)/100)</f>
        <v>0</v>
      </c>
    </row>
    <row r="178" spans="1:28" x14ac:dyDescent="0.25">
      <c r="A178" s="13" t="s">
        <v>110</v>
      </c>
      <c r="B178" s="13" t="s">
        <v>79</v>
      </c>
    </row>
    <row r="179" spans="1:28" x14ac:dyDescent="0.25">
      <c r="A179" s="13" t="s">
        <v>100</v>
      </c>
    </row>
    <row r="180" spans="1:28" ht="15.75" x14ac:dyDescent="0.25">
      <c r="G180" s="5" t="s">
        <v>0</v>
      </c>
    </row>
    <row r="181" spans="1:28" ht="15.75" x14ac:dyDescent="0.25">
      <c r="A181" s="13" t="s">
        <v>1</v>
      </c>
      <c r="B181" s="16" t="s">
        <v>2</v>
      </c>
      <c r="G181" s="6"/>
      <c r="H181" s="7" t="s">
        <v>3</v>
      </c>
      <c r="K181" s="8"/>
      <c r="L181" s="8"/>
      <c r="M181" s="8"/>
      <c r="N181" s="8"/>
      <c r="O181" s="8"/>
      <c r="P181" s="6"/>
      <c r="Q181" s="1" t="s">
        <v>56</v>
      </c>
      <c r="R181" s="1" t="s">
        <v>55</v>
      </c>
      <c r="S181" s="12" t="s">
        <v>57</v>
      </c>
      <c r="T181" s="13" t="s">
        <v>58</v>
      </c>
      <c r="U181" s="13" t="s">
        <v>59</v>
      </c>
      <c r="V181" s="13" t="s">
        <v>61</v>
      </c>
      <c r="W181" s="13" t="s">
        <v>62</v>
      </c>
      <c r="X181" s="13" t="s">
        <v>63</v>
      </c>
      <c r="Z181" s="13" t="s">
        <v>554</v>
      </c>
      <c r="AA181" s="13" t="s">
        <v>198</v>
      </c>
      <c r="AB181" s="13" t="s">
        <v>209</v>
      </c>
    </row>
    <row r="182" spans="1:28" x14ac:dyDescent="0.25">
      <c r="A182" s="17" t="s">
        <v>4</v>
      </c>
      <c r="B182" s="17"/>
      <c r="G182" s="2" t="s">
        <v>5</v>
      </c>
      <c r="H182" s="3">
        <f>(((B182*2)+(B183*4)+(B186*2)+(B187*4))+((B196*C196)*2)+(B189)+(B198))*1.1</f>
        <v>0</v>
      </c>
      <c r="M182" s="10"/>
      <c r="N182" s="10"/>
      <c r="O182" s="10"/>
      <c r="P182" s="23" t="s">
        <v>86</v>
      </c>
      <c r="Q182" s="11">
        <f>H182*$M$7</f>
        <v>0</v>
      </c>
      <c r="R182" s="11">
        <f>H182*$M$7</f>
        <v>0</v>
      </c>
      <c r="S182" s="11">
        <f>H182*$M$7</f>
        <v>0</v>
      </c>
      <c r="T182" s="11">
        <f>H182*$M$7</f>
        <v>0</v>
      </c>
      <c r="U182" s="11">
        <f>H182*($M$7/2)+(H182*$M$25/2)</f>
        <v>0</v>
      </c>
      <c r="V182" s="11">
        <f>H182*($M$7/2)+(H182*$M$25/2)</f>
        <v>0</v>
      </c>
      <c r="W182" s="11">
        <f>H182*($M$7/2)+(H182*$M$25/2)</f>
        <v>0</v>
      </c>
      <c r="X182" s="11">
        <f>H182*($M$7/2)+(H182*$M$25/2)</f>
        <v>0</v>
      </c>
      <c r="Y182" s="4" t="s">
        <v>4</v>
      </c>
      <c r="Z182">
        <v>27.9</v>
      </c>
      <c r="AA182">
        <f>B182</f>
        <v>0</v>
      </c>
      <c r="AB182">
        <f>Z182*AA182</f>
        <v>0</v>
      </c>
    </row>
    <row r="183" spans="1:28" x14ac:dyDescent="0.25">
      <c r="A183" s="17" t="s">
        <v>6</v>
      </c>
      <c r="B183" s="17"/>
      <c r="G183" s="2" t="s">
        <v>7</v>
      </c>
      <c r="H183" s="3">
        <f>(((B182+B183+(B186*2)+(B187*2))*1.667)+(B196*1.667*C196))*1.1</f>
        <v>0</v>
      </c>
      <c r="I183" s="4" t="s">
        <v>8</v>
      </c>
      <c r="M183" s="10"/>
      <c r="N183" s="10"/>
      <c r="O183" s="10"/>
      <c r="P183" s="23" t="s">
        <v>87</v>
      </c>
      <c r="Q183" s="11">
        <f>H183*$M$10</f>
        <v>0</v>
      </c>
      <c r="R183" s="11">
        <f>H183*$M$13</f>
        <v>0</v>
      </c>
      <c r="S183" s="11">
        <f>H183*$M$19</f>
        <v>0</v>
      </c>
      <c r="T183" s="11">
        <f>H183*$M$21</f>
        <v>0</v>
      </c>
      <c r="U183" s="11">
        <f>H183*$M$10</f>
        <v>0</v>
      </c>
      <c r="V183" s="11">
        <f>H183*$M$13</f>
        <v>0</v>
      </c>
      <c r="W183" s="11">
        <f>H183*$M$19</f>
        <v>0</v>
      </c>
      <c r="X183" s="11">
        <f>H183*$M$21</f>
        <v>0</v>
      </c>
      <c r="Y183" s="4" t="s">
        <v>6</v>
      </c>
      <c r="Z183">
        <v>37.44</v>
      </c>
      <c r="AA183">
        <f>B183</f>
        <v>0</v>
      </c>
      <c r="AB183">
        <f>Z183*AA183</f>
        <v>0</v>
      </c>
    </row>
    <row r="184" spans="1:28" x14ac:dyDescent="0.25">
      <c r="B184" s="18"/>
      <c r="G184" s="2" t="s">
        <v>9</v>
      </c>
      <c r="H184" s="3">
        <f>(((B182+B183+B186+B187)*0.667)+(B196*2))*1.1</f>
        <v>0</v>
      </c>
      <c r="I184" s="9">
        <f>((B182+B183+B186+B187)*1.666667)*1.1</f>
        <v>0</v>
      </c>
      <c r="J184" s="9"/>
      <c r="M184" s="10"/>
      <c r="N184" s="10"/>
      <c r="O184" s="10"/>
      <c r="P184" s="23" t="s">
        <v>88</v>
      </c>
      <c r="Q184" s="11">
        <f>H184*$M$11</f>
        <v>0</v>
      </c>
      <c r="R184" s="11">
        <f>H184*$M$14</f>
        <v>0</v>
      </c>
      <c r="S184" s="11">
        <f>H184*$M$20</f>
        <v>0</v>
      </c>
      <c r="T184" s="11">
        <f>H184*$M$22</f>
        <v>0</v>
      </c>
      <c r="U184" s="11">
        <f>H184*$M$11</f>
        <v>0</v>
      </c>
      <c r="V184" s="11">
        <f>H184*$M$14</f>
        <v>0</v>
      </c>
      <c r="W184" s="11">
        <f>H184*$M$20</f>
        <v>0</v>
      </c>
      <c r="X184" s="11">
        <f>H184*$M$22</f>
        <v>0</v>
      </c>
      <c r="Y184" s="4"/>
    </row>
    <row r="185" spans="1:28" x14ac:dyDescent="0.25">
      <c r="A185" s="13" t="s">
        <v>10</v>
      </c>
      <c r="B185" s="18"/>
      <c r="G185" s="2" t="s">
        <v>11</v>
      </c>
      <c r="H185" s="3">
        <f>(B182+B183+B186+B187)*1.1</f>
        <v>0</v>
      </c>
      <c r="M185" s="10"/>
      <c r="N185" s="10"/>
      <c r="O185" s="10"/>
      <c r="P185" s="23" t="s">
        <v>89</v>
      </c>
      <c r="Q185" s="11">
        <f>+H185*$M$16</f>
        <v>0</v>
      </c>
      <c r="R185" s="11">
        <f>+H185*$M$16</f>
        <v>0</v>
      </c>
      <c r="S185" s="11">
        <f>+H185*$M$16</f>
        <v>0</v>
      </c>
      <c r="T185" s="11">
        <f>+H185*$M$16</f>
        <v>0</v>
      </c>
      <c r="U185" s="11">
        <f>+H185*$M$16</f>
        <v>0</v>
      </c>
      <c r="V185" s="11">
        <f>+H185*$M$16</f>
        <v>0</v>
      </c>
      <c r="W185" s="11">
        <f>+H185*$M$16</f>
        <v>0</v>
      </c>
      <c r="X185" s="11">
        <f>+H185*$M$16</f>
        <v>0</v>
      </c>
      <c r="Y185" s="4" t="s">
        <v>10</v>
      </c>
    </row>
    <row r="186" spans="1:28" x14ac:dyDescent="0.25">
      <c r="A186" s="17" t="s">
        <v>12</v>
      </c>
      <c r="B186" s="17"/>
      <c r="G186" s="2" t="s">
        <v>13</v>
      </c>
      <c r="H186" s="3">
        <f>(((B182+(B183*2)+B186+(B187*2))*30)+(B196*C196*30*2)+(B198*30))*1.1</f>
        <v>0</v>
      </c>
      <c r="I186" s="105">
        <f>H186/1000</f>
        <v>0</v>
      </c>
      <c r="J186" s="106">
        <f>ROUNDUP(I186,0)</f>
        <v>0</v>
      </c>
      <c r="M186" s="10"/>
      <c r="N186" s="10"/>
      <c r="O186" s="10"/>
      <c r="P186" s="23" t="s">
        <v>90</v>
      </c>
      <c r="Q186" s="11">
        <f>$J$186*$M$30</f>
        <v>0</v>
      </c>
      <c r="R186" s="11">
        <f t="shared" ref="R186:X186" si="46">$J$186*$M$30</f>
        <v>0</v>
      </c>
      <c r="S186" s="11">
        <f t="shared" si="46"/>
        <v>0</v>
      </c>
      <c r="T186" s="11">
        <f t="shared" si="46"/>
        <v>0</v>
      </c>
      <c r="U186" s="11">
        <f t="shared" si="46"/>
        <v>0</v>
      </c>
      <c r="V186" s="11">
        <f t="shared" si="46"/>
        <v>0</v>
      </c>
      <c r="W186" s="11">
        <f t="shared" si="46"/>
        <v>0</v>
      </c>
      <c r="X186" s="11">
        <f t="shared" si="46"/>
        <v>0</v>
      </c>
      <c r="Y186" s="4" t="s">
        <v>12</v>
      </c>
      <c r="Z186">
        <v>30.96</v>
      </c>
      <c r="AA186">
        <f>B186</f>
        <v>0</v>
      </c>
      <c r="AB186">
        <f t="shared" ref="AB186:AB187" si="47">Z186*AA186</f>
        <v>0</v>
      </c>
    </row>
    <row r="187" spans="1:28" x14ac:dyDescent="0.25">
      <c r="A187" s="17" t="s">
        <v>14</v>
      </c>
      <c r="B187" s="17"/>
      <c r="G187" s="2" t="s">
        <v>15</v>
      </c>
      <c r="H187" s="3">
        <f>(H184*0.4)*1.1</f>
        <v>0</v>
      </c>
      <c r="M187" s="10"/>
      <c r="N187" s="10"/>
      <c r="O187" s="10"/>
      <c r="P187" s="23" t="s">
        <v>92</v>
      </c>
      <c r="Q187" s="11">
        <f>B207*$M$26</f>
        <v>0</v>
      </c>
      <c r="R187" s="11">
        <f>B207*$M$26</f>
        <v>0</v>
      </c>
      <c r="S187" s="11">
        <f>B207*$M$26</f>
        <v>0</v>
      </c>
      <c r="T187" s="11">
        <f>B207*$M$26</f>
        <v>0</v>
      </c>
      <c r="U187" s="11">
        <f>B207*$M$26</f>
        <v>0</v>
      </c>
      <c r="V187" s="11">
        <f>B207*$M$26</f>
        <v>0</v>
      </c>
      <c r="W187" s="11">
        <f>B207*$M$26</f>
        <v>0</v>
      </c>
      <c r="X187" s="11">
        <f>B207*$M$26</f>
        <v>0</v>
      </c>
      <c r="Y187" s="4" t="s">
        <v>14</v>
      </c>
      <c r="Z187">
        <v>40.32</v>
      </c>
      <c r="AA187">
        <f>B187</f>
        <v>0</v>
      </c>
      <c r="AB187">
        <f t="shared" si="47"/>
        <v>0</v>
      </c>
    </row>
    <row r="188" spans="1:28" x14ac:dyDescent="0.25">
      <c r="B188" s="18"/>
      <c r="G188" s="2" t="s">
        <v>71</v>
      </c>
      <c r="H188" s="3">
        <f>(8*B193+B204)*1.1</f>
        <v>0</v>
      </c>
      <c r="M188" s="10"/>
      <c r="N188" s="10"/>
      <c r="O188" s="10"/>
      <c r="P188" s="23" t="s">
        <v>85</v>
      </c>
      <c r="Q188" s="11">
        <f>+H188*$M$12</f>
        <v>0</v>
      </c>
      <c r="R188" s="11">
        <f>+H188*$M$15</f>
        <v>0</v>
      </c>
      <c r="S188" s="11">
        <f>+H188*$M$12</f>
        <v>0</v>
      </c>
      <c r="T188" s="11">
        <f>+H188*$M$12</f>
        <v>0</v>
      </c>
      <c r="U188" s="11">
        <f>+H188*$M$12</f>
        <v>0</v>
      </c>
      <c r="V188" s="11">
        <f>+H188*$M$15</f>
        <v>0</v>
      </c>
      <c r="W188" s="11">
        <f>+H188*$M$12</f>
        <v>0</v>
      </c>
      <c r="X188" s="11">
        <f>+H188*$M$12</f>
        <v>0</v>
      </c>
      <c r="Y188" s="4"/>
    </row>
    <row r="189" spans="1:28" x14ac:dyDescent="0.25">
      <c r="A189" s="21" t="s">
        <v>77</v>
      </c>
      <c r="B189" s="17"/>
      <c r="G189" s="2" t="s">
        <v>16</v>
      </c>
      <c r="H189" s="3">
        <f>(B193*6)</f>
        <v>0</v>
      </c>
      <c r="M189" s="10"/>
      <c r="N189" s="10"/>
      <c r="O189" s="10"/>
      <c r="P189" s="23" t="s">
        <v>84</v>
      </c>
      <c r="Q189" s="11">
        <f>B208*$M$27</f>
        <v>0</v>
      </c>
      <c r="R189" s="11">
        <f>B208*$M$27</f>
        <v>0</v>
      </c>
      <c r="S189" s="11">
        <f>B208*$M$27</f>
        <v>0</v>
      </c>
      <c r="T189" s="11">
        <f>B208*$M$27</f>
        <v>0</v>
      </c>
      <c r="U189" s="11">
        <f>B208*$M$27</f>
        <v>0</v>
      </c>
      <c r="V189" s="11">
        <f>B208*$M$27</f>
        <v>0</v>
      </c>
      <c r="W189" s="11">
        <f>B208*$M$27</f>
        <v>0</v>
      </c>
      <c r="X189" s="11">
        <f>B208*$M$27</f>
        <v>0</v>
      </c>
      <c r="Y189" s="4" t="s">
        <v>77</v>
      </c>
      <c r="Z189">
        <v>16.2</v>
      </c>
      <c r="AA189">
        <f>B189</f>
        <v>0</v>
      </c>
      <c r="AB189">
        <f t="shared" ref="AB189:AB192" si="48">Z189*AA189</f>
        <v>0</v>
      </c>
    </row>
    <row r="190" spans="1:28" x14ac:dyDescent="0.25">
      <c r="A190" s="21" t="s">
        <v>78</v>
      </c>
      <c r="B190" s="17"/>
      <c r="G190" s="2" t="s">
        <v>17</v>
      </c>
      <c r="H190" s="3">
        <f>H184/0.3</f>
        <v>0</v>
      </c>
      <c r="M190" s="10"/>
      <c r="N190" s="10"/>
      <c r="O190" s="10"/>
      <c r="P190" s="23" t="s">
        <v>68</v>
      </c>
      <c r="Q190" s="11">
        <f>H195*$M$28</f>
        <v>0</v>
      </c>
      <c r="R190" s="11">
        <f>H195*$M$28</f>
        <v>0</v>
      </c>
      <c r="S190" s="11">
        <f>H195*$M$28</f>
        <v>0</v>
      </c>
      <c r="T190" s="11">
        <f>H195*$M$28</f>
        <v>0</v>
      </c>
      <c r="U190" s="11">
        <f>H195*$M$28</f>
        <v>0</v>
      </c>
      <c r="V190" s="11">
        <f>H195*$M$28</f>
        <v>0</v>
      </c>
      <c r="W190" s="11">
        <f>H195*$M$28</f>
        <v>0</v>
      </c>
      <c r="X190" s="11">
        <f>H195*$M$28</f>
        <v>0</v>
      </c>
      <c r="Y190" s="4" t="s">
        <v>78</v>
      </c>
      <c r="Z190">
        <v>18</v>
      </c>
      <c r="AA190">
        <f>B190</f>
        <v>0</v>
      </c>
      <c r="AB190">
        <f t="shared" si="48"/>
        <v>0</v>
      </c>
    </row>
    <row r="191" spans="1:28" x14ac:dyDescent="0.25">
      <c r="B191" s="19"/>
      <c r="G191" s="2" t="s">
        <v>570</v>
      </c>
      <c r="H191" s="3">
        <f>B198*1.1</f>
        <v>0</v>
      </c>
      <c r="M191" s="10"/>
      <c r="N191" s="10"/>
      <c r="O191" s="10"/>
      <c r="P191" s="23" t="s">
        <v>91</v>
      </c>
      <c r="Q191" s="11">
        <f>B190*(18*0.014)*$M$25*1.1</f>
        <v>0</v>
      </c>
      <c r="R191" s="11">
        <f>B190*$M$25*1.1</f>
        <v>0</v>
      </c>
      <c r="S191" s="11">
        <f>B190*$M$25*1.1</f>
        <v>0</v>
      </c>
      <c r="T191" s="11">
        <f>B190*$M$25*1.1</f>
        <v>0</v>
      </c>
      <c r="U191" s="11">
        <f>B190*$M$25*1.1</f>
        <v>0</v>
      </c>
      <c r="V191" s="11">
        <f>B190*$M$25*1.1</f>
        <v>0</v>
      </c>
      <c r="W191" s="11">
        <f>B190*$M$25*1.1</f>
        <v>0</v>
      </c>
      <c r="X191" s="11">
        <f>B190*$M$25*1.1</f>
        <v>0</v>
      </c>
      <c r="Y191" s="4" t="s">
        <v>567</v>
      </c>
      <c r="Z191">
        <v>18.5</v>
      </c>
      <c r="AA191">
        <f>B198</f>
        <v>0</v>
      </c>
      <c r="AB191">
        <f t="shared" si="48"/>
        <v>0</v>
      </c>
    </row>
    <row r="192" spans="1:28" ht="15.75" x14ac:dyDescent="0.25">
      <c r="B192" s="16" t="s">
        <v>18</v>
      </c>
      <c r="G192" s="6" t="s">
        <v>19</v>
      </c>
      <c r="H192" s="3" t="s">
        <v>20</v>
      </c>
      <c r="I192" s="4" t="s">
        <v>21</v>
      </c>
      <c r="M192" s="10"/>
      <c r="N192" s="10"/>
      <c r="O192" s="10"/>
      <c r="P192" s="23" t="s">
        <v>96</v>
      </c>
      <c r="Q192" s="11">
        <f>$B$209</f>
        <v>0</v>
      </c>
      <c r="R192" s="11">
        <f t="shared" ref="R192:X192" si="49">$B$209</f>
        <v>0</v>
      </c>
      <c r="S192" s="11">
        <f t="shared" si="49"/>
        <v>0</v>
      </c>
      <c r="T192" s="11">
        <f t="shared" si="49"/>
        <v>0</v>
      </c>
      <c r="U192" s="11">
        <f t="shared" si="49"/>
        <v>0</v>
      </c>
      <c r="V192" s="11">
        <f t="shared" si="49"/>
        <v>0</v>
      </c>
      <c r="W192" s="11">
        <f t="shared" si="49"/>
        <v>0</v>
      </c>
      <c r="X192" s="11">
        <f t="shared" si="49"/>
        <v>0</v>
      </c>
      <c r="Y192" s="4" t="s">
        <v>568</v>
      </c>
      <c r="Z192">
        <v>11.98</v>
      </c>
      <c r="AA192">
        <f>B199</f>
        <v>0</v>
      </c>
      <c r="AB192">
        <f t="shared" si="48"/>
        <v>0</v>
      </c>
    </row>
    <row r="193" spans="1:28" x14ac:dyDescent="0.25">
      <c r="A193" s="21" t="s">
        <v>22</v>
      </c>
      <c r="B193" s="17"/>
      <c r="G193" s="2" t="s">
        <v>23</v>
      </c>
      <c r="H193" s="3">
        <f>(((B182+B183+B186+B187+B198)*2)*0.25*0.3)+(B189*0.32*1.1)</f>
        <v>0</v>
      </c>
      <c r="I193" s="9">
        <f>H193/10</f>
        <v>0</v>
      </c>
      <c r="J193" s="9"/>
      <c r="M193" s="10"/>
      <c r="N193" s="10"/>
      <c r="O193" s="10"/>
      <c r="P193" s="23" t="s">
        <v>23</v>
      </c>
      <c r="Q193" s="11">
        <f>+I193*$M$23</f>
        <v>0</v>
      </c>
      <c r="R193" s="11">
        <f>+I193*$M$23</f>
        <v>0</v>
      </c>
      <c r="S193" s="11">
        <f>+I193*$M$23</f>
        <v>0</v>
      </c>
      <c r="T193" s="11">
        <f>+I193*$M$23</f>
        <v>0</v>
      </c>
      <c r="U193" s="11">
        <f>+I193*$M$23</f>
        <v>0</v>
      </c>
      <c r="V193" s="11">
        <f>+I193*$M$23</f>
        <v>0</v>
      </c>
      <c r="W193" s="11">
        <f>+I193*$M$23</f>
        <v>0</v>
      </c>
      <c r="X193" s="11">
        <f>+I193*$M$23</f>
        <v>0</v>
      </c>
      <c r="Y193" s="4" t="s">
        <v>22</v>
      </c>
      <c r="Z193">
        <v>16.38</v>
      </c>
      <c r="AA193">
        <f>B193</f>
        <v>0</v>
      </c>
      <c r="AB193">
        <f t="shared" ref="AB193" si="50">Z193*AA193</f>
        <v>0</v>
      </c>
    </row>
    <row r="194" spans="1:28" x14ac:dyDescent="0.25">
      <c r="B194" s="19"/>
      <c r="G194" s="2" t="s">
        <v>24</v>
      </c>
      <c r="H194" s="3">
        <f>(((B182+B183+B186+B187+B198)*2)*0.25*0.3)+(B189*0.32*1.1)</f>
        <v>0</v>
      </c>
      <c r="I194" s="9">
        <f>H194/10</f>
        <v>0</v>
      </c>
      <c r="J194" s="9"/>
      <c r="M194" s="10"/>
      <c r="N194" s="10"/>
      <c r="O194" s="10"/>
      <c r="P194" s="23" t="s">
        <v>24</v>
      </c>
      <c r="Q194" s="11">
        <f>+I194*$M$24</f>
        <v>0</v>
      </c>
      <c r="R194" s="11">
        <f>+I194*$M$24</f>
        <v>0</v>
      </c>
      <c r="S194" s="11">
        <f>+I194*$M$24</f>
        <v>0</v>
      </c>
      <c r="T194" s="11">
        <f>+I194*$M$24</f>
        <v>0</v>
      </c>
      <c r="U194" s="11">
        <f>+I194*$M$24</f>
        <v>0</v>
      </c>
      <c r="V194" s="11">
        <f>+I194*$M$24</f>
        <v>0</v>
      </c>
      <c r="W194" s="11">
        <f>+I194*$M$24</f>
        <v>0</v>
      </c>
      <c r="X194" s="11">
        <f>+I194*$M$24</f>
        <v>0</v>
      </c>
      <c r="Y194" s="4"/>
    </row>
    <row r="195" spans="1:28" x14ac:dyDescent="0.25">
      <c r="A195" s="13"/>
      <c r="B195" s="16" t="s">
        <v>25</v>
      </c>
      <c r="C195" s="1" t="s">
        <v>26</v>
      </c>
      <c r="D195" s="1"/>
      <c r="G195" s="2" t="s">
        <v>68</v>
      </c>
      <c r="H195" s="3">
        <f>B201/3</f>
        <v>0</v>
      </c>
      <c r="M195" s="10"/>
      <c r="N195" s="10"/>
      <c r="O195" s="10"/>
      <c r="P195" s="23" t="s">
        <v>570</v>
      </c>
      <c r="Q195" s="11">
        <f>$B$198*$M$29</f>
        <v>0</v>
      </c>
      <c r="R195" s="11">
        <f t="shared" ref="R195:X195" si="51">$B$198*$M$29</f>
        <v>0</v>
      </c>
      <c r="S195" s="11">
        <f t="shared" si="51"/>
        <v>0</v>
      </c>
      <c r="T195" s="11">
        <f t="shared" si="51"/>
        <v>0</v>
      </c>
      <c r="U195" s="11">
        <f t="shared" si="51"/>
        <v>0</v>
      </c>
      <c r="V195" s="11">
        <f t="shared" si="51"/>
        <v>0</v>
      </c>
      <c r="W195" s="11">
        <f t="shared" si="51"/>
        <v>0</v>
      </c>
      <c r="X195" s="11">
        <f t="shared" si="51"/>
        <v>0</v>
      </c>
      <c r="Y195" s="4"/>
    </row>
    <row r="196" spans="1:28" ht="15.75" x14ac:dyDescent="0.25">
      <c r="A196" s="21" t="s">
        <v>94</v>
      </c>
      <c r="B196" s="17"/>
      <c r="C196" s="15"/>
      <c r="G196" s="6" t="s">
        <v>27</v>
      </c>
      <c r="H196" s="3" t="s">
        <v>28</v>
      </c>
      <c r="I196" s="4" t="s">
        <v>29</v>
      </c>
      <c r="M196" s="10"/>
      <c r="N196" s="10"/>
      <c r="O196" s="10"/>
      <c r="P196" s="23"/>
      <c r="Y196" s="4" t="s">
        <v>94</v>
      </c>
      <c r="Z196">
        <v>37.44</v>
      </c>
      <c r="AA196">
        <f>B196</f>
        <v>0</v>
      </c>
      <c r="AB196">
        <f t="shared" ref="AB196:AB197" si="52">Z196*AA196</f>
        <v>0</v>
      </c>
    </row>
    <row r="197" spans="1:28" x14ac:dyDescent="0.25">
      <c r="B197" s="19"/>
      <c r="G197" s="2" t="s">
        <v>30</v>
      </c>
      <c r="H197" s="3">
        <f>(B182+B183+B186+B187)*2*2.4</f>
        <v>0</v>
      </c>
      <c r="I197" s="4">
        <f>H197/20</f>
        <v>0</v>
      </c>
      <c r="M197" s="10"/>
      <c r="N197" s="10"/>
      <c r="O197" s="10"/>
      <c r="P197" s="23"/>
      <c r="Y197" s="4"/>
      <c r="AA197" s="33">
        <f>(H193+H194)/0.2</f>
        <v>0</v>
      </c>
      <c r="AB197">
        <f t="shared" si="52"/>
        <v>0</v>
      </c>
    </row>
    <row r="198" spans="1:28" x14ac:dyDescent="0.25">
      <c r="A198" s="21" t="s">
        <v>567</v>
      </c>
      <c r="B198" s="17"/>
      <c r="M198" s="10"/>
      <c r="N198" s="10"/>
      <c r="O198" s="10"/>
      <c r="P198" s="23"/>
      <c r="Y198" s="4" t="s">
        <v>567</v>
      </c>
      <c r="AA198" s="33"/>
    </row>
    <row r="199" spans="1:28" x14ac:dyDescent="0.25">
      <c r="A199" s="21" t="s">
        <v>568</v>
      </c>
      <c r="B199" s="17"/>
      <c r="M199" s="10"/>
      <c r="N199" s="10"/>
      <c r="O199" s="10"/>
      <c r="P199" s="23"/>
      <c r="Y199" s="4" t="s">
        <v>568</v>
      </c>
      <c r="AA199" s="33"/>
    </row>
    <row r="200" spans="1:28" x14ac:dyDescent="0.25">
      <c r="B200" s="16" t="s">
        <v>69</v>
      </c>
      <c r="G200" s="2" t="s">
        <v>31</v>
      </c>
      <c r="H200" s="3">
        <f>(B182+B183+B186+B187)*2*2.4</f>
        <v>0</v>
      </c>
      <c r="I200" s="4">
        <f>H200/20</f>
        <v>0</v>
      </c>
      <c r="M200" s="10"/>
      <c r="N200" s="10"/>
      <c r="O200" s="10"/>
      <c r="P200" s="23"/>
      <c r="Y200" s="4"/>
    </row>
    <row r="201" spans="1:28" x14ac:dyDescent="0.25">
      <c r="A201" s="21" t="s">
        <v>68</v>
      </c>
      <c r="B201" s="17"/>
      <c r="G201" s="2" t="s">
        <v>32</v>
      </c>
      <c r="H201" s="3">
        <f>(B182+B183+B186+B187)*2*0.6</f>
        <v>0</v>
      </c>
      <c r="I201" s="4">
        <f>H201/10</f>
        <v>0</v>
      </c>
      <c r="M201" s="10"/>
      <c r="N201" s="10"/>
      <c r="O201" s="10"/>
      <c r="P201" s="23"/>
      <c r="Y201" s="4" t="s">
        <v>68</v>
      </c>
      <c r="AA201">
        <f>B201</f>
        <v>0</v>
      </c>
      <c r="AB201">
        <f t="shared" ref="AB201" si="53">Z201*AA201</f>
        <v>0</v>
      </c>
    </row>
    <row r="202" spans="1:28" x14ac:dyDescent="0.25">
      <c r="A202" s="22" t="s">
        <v>73</v>
      </c>
      <c r="B202" s="18"/>
      <c r="M202" s="10"/>
      <c r="N202" s="10"/>
      <c r="O202" s="10"/>
      <c r="P202" s="23"/>
      <c r="Y202" s="22" t="s">
        <v>73</v>
      </c>
    </row>
    <row r="203" spans="1:28" ht="15.75" x14ac:dyDescent="0.25">
      <c r="B203" s="20" t="s">
        <v>69</v>
      </c>
      <c r="G203" s="6" t="s">
        <v>33</v>
      </c>
      <c r="M203" s="10"/>
      <c r="N203" s="10"/>
      <c r="O203" s="10"/>
      <c r="P203" s="23"/>
      <c r="Y203" s="4"/>
    </row>
    <row r="204" spans="1:28" x14ac:dyDescent="0.25">
      <c r="A204" s="21" t="s">
        <v>70</v>
      </c>
      <c r="B204" s="17"/>
      <c r="H204" s="3" t="s">
        <v>20</v>
      </c>
      <c r="I204" s="4" t="s">
        <v>34</v>
      </c>
      <c r="M204" s="10"/>
      <c r="N204" s="10"/>
      <c r="O204" s="10"/>
      <c r="P204" s="23"/>
      <c r="Y204" s="4" t="s">
        <v>70</v>
      </c>
      <c r="Z204">
        <v>1.7</v>
      </c>
      <c r="AA204">
        <f>B204</f>
        <v>0</v>
      </c>
      <c r="AB204">
        <f t="shared" ref="AB204" si="54">Z204*AA204</f>
        <v>0</v>
      </c>
    </row>
    <row r="205" spans="1:28" x14ac:dyDescent="0.25">
      <c r="A205" s="22" t="s">
        <v>72</v>
      </c>
      <c r="B205" s="18"/>
      <c r="G205" s="2" t="s">
        <v>35</v>
      </c>
      <c r="H205" s="3">
        <f>(B182+B183+B186+B187)*0.22222</f>
        <v>0</v>
      </c>
      <c r="I205" s="9">
        <f>(H205/18)*1.1</f>
        <v>0</v>
      </c>
      <c r="J205" s="9"/>
      <c r="M205" s="10"/>
      <c r="N205" s="10"/>
      <c r="O205" s="10"/>
      <c r="P205" s="23"/>
    </row>
    <row r="206" spans="1:28" x14ac:dyDescent="0.25">
      <c r="B206" s="18"/>
      <c r="G206" s="2" t="s">
        <v>36</v>
      </c>
      <c r="H206" s="3">
        <f>(B182+B183+B186+B187)*0.25</f>
        <v>0</v>
      </c>
      <c r="I206" s="9">
        <f>(H206/18)*1.1</f>
        <v>0</v>
      </c>
      <c r="J206" s="9"/>
      <c r="AB206">
        <f>SUM(AB182:AB204)</f>
        <v>0</v>
      </c>
    </row>
    <row r="207" spans="1:28" x14ac:dyDescent="0.25">
      <c r="A207" s="21" t="s">
        <v>82</v>
      </c>
      <c r="B207" s="17"/>
      <c r="C207" s="25" t="s">
        <v>83</v>
      </c>
    </row>
    <row r="208" spans="1:28" x14ac:dyDescent="0.25">
      <c r="A208" s="21" t="s">
        <v>84</v>
      </c>
      <c r="B208" s="17"/>
      <c r="C208" s="25" t="s">
        <v>98</v>
      </c>
    </row>
    <row r="209" spans="1:28" x14ac:dyDescent="0.25">
      <c r="A209" s="27" t="s">
        <v>96</v>
      </c>
      <c r="B209" s="24"/>
      <c r="C209" s="26" t="s">
        <v>97</v>
      </c>
    </row>
    <row r="211" spans="1:28" x14ac:dyDescent="0.25">
      <c r="P211" s="12"/>
      <c r="Q211" s="14">
        <f>SUM(Q182:Q207)</f>
        <v>0</v>
      </c>
      <c r="R211" s="14">
        <f t="shared" ref="R211" si="55">SUM(R182:R207)</f>
        <v>0</v>
      </c>
      <c r="S211" s="14">
        <f t="shared" ref="S211" si="56">SUM(S182:S207)</f>
        <v>0</v>
      </c>
      <c r="T211" s="14">
        <f t="shared" ref="T211" si="57">SUM(T182:T207)</f>
        <v>0</v>
      </c>
      <c r="U211" s="14">
        <f t="shared" ref="U211" si="58">SUM(U182:U207)</f>
        <v>0</v>
      </c>
      <c r="V211" s="14">
        <f t="shared" ref="V211" si="59">SUM(V182:V207)</f>
        <v>0</v>
      </c>
      <c r="W211" s="14">
        <f t="shared" ref="W211" si="60">SUM(W182:W207)</f>
        <v>0</v>
      </c>
      <c r="X211" s="14">
        <f t="shared" ref="X211" si="61">SUM(X182:X207)</f>
        <v>0</v>
      </c>
    </row>
    <row r="212" spans="1:28" x14ac:dyDescent="0.25">
      <c r="A212" s="13" t="s">
        <v>66</v>
      </c>
      <c r="B212" s="13" t="s">
        <v>56</v>
      </c>
      <c r="C212" s="14">
        <f>SUMIF(Q213:Q220,B212,R213:R220)/((100-B213)/100)</f>
        <v>0</v>
      </c>
      <c r="D212" s="14"/>
    </row>
    <row r="213" spans="1:28" x14ac:dyDescent="0.25">
      <c r="A213" s="13" t="s">
        <v>169</v>
      </c>
      <c r="B213" s="13">
        <v>0</v>
      </c>
      <c r="C213" s="1"/>
      <c r="D213" s="1"/>
      <c r="Q213" s="13" t="s">
        <v>56</v>
      </c>
      <c r="R213" s="11">
        <f>Q211/((100-B217)/100)</f>
        <v>0</v>
      </c>
    </row>
    <row r="214" spans="1:28" x14ac:dyDescent="0.25">
      <c r="Q214" s="13" t="s">
        <v>55</v>
      </c>
      <c r="R214" s="11">
        <f>R211/((100-B217)/100)</f>
        <v>0</v>
      </c>
    </row>
    <row r="215" spans="1:28" x14ac:dyDescent="0.25">
      <c r="A215" s="13" t="s">
        <v>76</v>
      </c>
      <c r="C215" s="37">
        <f>AB206*((100+B216)/100)</f>
        <v>0</v>
      </c>
      <c r="Q215" s="13" t="s">
        <v>57</v>
      </c>
      <c r="R215" s="11">
        <f>S211/((100-B217)/100)</f>
        <v>0</v>
      </c>
    </row>
    <row r="216" spans="1:28" x14ac:dyDescent="0.25">
      <c r="A216" s="13" t="s">
        <v>154</v>
      </c>
      <c r="B216" s="4">
        <v>0</v>
      </c>
      <c r="Q216" s="13" t="s">
        <v>58</v>
      </c>
      <c r="R216" s="11">
        <f>T211/((100-B217)/100)</f>
        <v>0</v>
      </c>
    </row>
    <row r="217" spans="1:28" x14ac:dyDescent="0.25">
      <c r="Q217" s="13" t="s">
        <v>59</v>
      </c>
      <c r="R217" s="11">
        <f>U211/((100-B217)/100)</f>
        <v>0</v>
      </c>
    </row>
    <row r="218" spans="1:28" x14ac:dyDescent="0.25">
      <c r="Q218" s="13" t="s">
        <v>61</v>
      </c>
      <c r="R218" s="11">
        <f>V211/((100-B217)/100)</f>
        <v>0</v>
      </c>
    </row>
    <row r="219" spans="1:28" x14ac:dyDescent="0.25">
      <c r="Q219" s="13" t="s">
        <v>62</v>
      </c>
      <c r="R219" s="11">
        <f>W211/((100-B217)/100)</f>
        <v>0</v>
      </c>
    </row>
    <row r="220" spans="1:28" x14ac:dyDescent="0.25">
      <c r="Q220" s="13" t="s">
        <v>63</v>
      </c>
      <c r="R220" s="11">
        <f>X211/((100-B217)/100)</f>
        <v>0</v>
      </c>
    </row>
    <row r="221" spans="1:28" x14ac:dyDescent="0.25">
      <c r="A221" s="13" t="s">
        <v>111</v>
      </c>
      <c r="B221" s="13" t="s">
        <v>79</v>
      </c>
    </row>
    <row r="222" spans="1:28" x14ac:dyDescent="0.25">
      <c r="A222" s="13" t="s">
        <v>101</v>
      </c>
    </row>
    <row r="223" spans="1:28" ht="15.75" x14ac:dyDescent="0.25">
      <c r="G223" s="5" t="s">
        <v>0</v>
      </c>
    </row>
    <row r="224" spans="1:28" ht="15.75" x14ac:dyDescent="0.25">
      <c r="A224" s="13" t="s">
        <v>1</v>
      </c>
      <c r="B224" s="16" t="s">
        <v>2</v>
      </c>
      <c r="G224" s="6"/>
      <c r="H224" s="7" t="s">
        <v>3</v>
      </c>
      <c r="K224" s="8"/>
      <c r="L224" s="8"/>
      <c r="M224" s="8"/>
      <c r="N224" s="8"/>
      <c r="O224" s="8"/>
      <c r="P224" s="6"/>
      <c r="Q224" s="1" t="s">
        <v>56</v>
      </c>
      <c r="R224" s="1" t="s">
        <v>55</v>
      </c>
      <c r="S224" s="12" t="s">
        <v>57</v>
      </c>
      <c r="T224" s="13" t="s">
        <v>58</v>
      </c>
      <c r="U224" s="13" t="s">
        <v>59</v>
      </c>
      <c r="V224" s="13" t="s">
        <v>61</v>
      </c>
      <c r="W224" s="13" t="s">
        <v>62</v>
      </c>
      <c r="X224" s="13" t="s">
        <v>63</v>
      </c>
      <c r="Z224" s="13" t="s">
        <v>554</v>
      </c>
      <c r="AA224" s="13" t="s">
        <v>198</v>
      </c>
      <c r="AB224" s="13" t="s">
        <v>209</v>
      </c>
    </row>
    <row r="225" spans="1:28" x14ac:dyDescent="0.25">
      <c r="A225" s="17" t="s">
        <v>4</v>
      </c>
      <c r="B225" s="17"/>
      <c r="G225" s="2" t="s">
        <v>5</v>
      </c>
      <c r="H225" s="3">
        <f>(((B225*2)+(B226*4)+(B229*2)+(B230*4))+((B239*C239)*2)+(B232)+(B241))*1.1</f>
        <v>0</v>
      </c>
      <c r="M225" s="10"/>
      <c r="N225" s="10"/>
      <c r="O225" s="10"/>
      <c r="P225" s="23" t="s">
        <v>86</v>
      </c>
      <c r="Q225" s="11">
        <f>H225*$M$7</f>
        <v>0</v>
      </c>
      <c r="R225" s="11">
        <f>H225*$M$7</f>
        <v>0</v>
      </c>
      <c r="S225" s="11">
        <f>H225*$M$7</f>
        <v>0</v>
      </c>
      <c r="T225" s="11">
        <f>H225*$M$7</f>
        <v>0</v>
      </c>
      <c r="U225" s="11">
        <f>H225*($M$7/2)+(H225*$M$25/2)</f>
        <v>0</v>
      </c>
      <c r="V225" s="11">
        <f>H225*($M$7/2)+(H225*$M$25/2)</f>
        <v>0</v>
      </c>
      <c r="W225" s="11">
        <f>H225*($M$7/2)+(H225*$M$25/2)</f>
        <v>0</v>
      </c>
      <c r="X225" s="11">
        <f>H225*($M$7/2)+(H225*$M$25/2)</f>
        <v>0</v>
      </c>
      <c r="Y225" s="4" t="s">
        <v>4</v>
      </c>
      <c r="Z225">
        <v>27.9</v>
      </c>
      <c r="AA225">
        <f>B225</f>
        <v>0</v>
      </c>
      <c r="AB225">
        <f>Z225*AA225</f>
        <v>0</v>
      </c>
    </row>
    <row r="226" spans="1:28" x14ac:dyDescent="0.25">
      <c r="A226" s="17" t="s">
        <v>6</v>
      </c>
      <c r="B226" s="17"/>
      <c r="G226" s="2" t="s">
        <v>7</v>
      </c>
      <c r="H226" s="3">
        <f>(((B225+B226+(B229*2)+(B230*2))*1.667)+(B239*1.667*C239))*1.1</f>
        <v>0</v>
      </c>
      <c r="I226" s="4" t="s">
        <v>8</v>
      </c>
      <c r="M226" s="10"/>
      <c r="N226" s="10"/>
      <c r="O226" s="10"/>
      <c r="P226" s="23" t="s">
        <v>87</v>
      </c>
      <c r="Q226" s="11">
        <f>H226*$M$10</f>
        <v>0</v>
      </c>
      <c r="R226" s="11">
        <f>H226*$M$13</f>
        <v>0</v>
      </c>
      <c r="S226" s="11">
        <f>H226*$M$19</f>
        <v>0</v>
      </c>
      <c r="T226" s="11">
        <f>H226*$M$21</f>
        <v>0</v>
      </c>
      <c r="U226" s="11">
        <f>H226*$M$10</f>
        <v>0</v>
      </c>
      <c r="V226" s="11">
        <f>H226*$M$13</f>
        <v>0</v>
      </c>
      <c r="W226" s="11">
        <f>H226*$M$19</f>
        <v>0</v>
      </c>
      <c r="X226" s="11">
        <f>H226*$M$21</f>
        <v>0</v>
      </c>
      <c r="Y226" s="4" t="s">
        <v>6</v>
      </c>
      <c r="Z226">
        <v>37.44</v>
      </c>
      <c r="AA226">
        <f>B226</f>
        <v>0</v>
      </c>
      <c r="AB226">
        <f>Z226*AA226</f>
        <v>0</v>
      </c>
    </row>
    <row r="227" spans="1:28" x14ac:dyDescent="0.25">
      <c r="B227" s="18"/>
      <c r="G227" s="2" t="s">
        <v>9</v>
      </c>
      <c r="H227" s="3">
        <f>(((B225+B226+B229+B230)*0.667)+(B239*2))*1.1</f>
        <v>0</v>
      </c>
      <c r="I227" s="9">
        <f>((B225+B226+B229+B230)*1.666667)*1.1</f>
        <v>0</v>
      </c>
      <c r="J227" s="9"/>
      <c r="M227" s="10"/>
      <c r="N227" s="10"/>
      <c r="O227" s="10"/>
      <c r="P227" s="23" t="s">
        <v>88</v>
      </c>
      <c r="Q227" s="11">
        <f>H227*$M$11</f>
        <v>0</v>
      </c>
      <c r="R227" s="11">
        <f>H227*$M$14</f>
        <v>0</v>
      </c>
      <c r="S227" s="11">
        <f>H227*$M$20</f>
        <v>0</v>
      </c>
      <c r="T227" s="11">
        <f>H227*$M$22</f>
        <v>0</v>
      </c>
      <c r="U227" s="11">
        <f>H227*$M$11</f>
        <v>0</v>
      </c>
      <c r="V227" s="11">
        <f>H227*$M$14</f>
        <v>0</v>
      </c>
      <c r="W227" s="11">
        <f>H227*$M$20</f>
        <v>0</v>
      </c>
      <c r="X227" s="11">
        <f>H227*$M$22</f>
        <v>0</v>
      </c>
      <c r="Y227" s="4"/>
    </row>
    <row r="228" spans="1:28" x14ac:dyDescent="0.25">
      <c r="A228" s="13" t="s">
        <v>10</v>
      </c>
      <c r="B228" s="18"/>
      <c r="G228" s="2" t="s">
        <v>11</v>
      </c>
      <c r="H228" s="3">
        <f>(B225+B226+B229+B230)*1.1</f>
        <v>0</v>
      </c>
      <c r="M228" s="10"/>
      <c r="N228" s="10"/>
      <c r="O228" s="10"/>
      <c r="P228" s="23" t="s">
        <v>89</v>
      </c>
      <c r="Q228" s="11">
        <f>+H228*$M$16</f>
        <v>0</v>
      </c>
      <c r="R228" s="11">
        <f>+H228*$M$16</f>
        <v>0</v>
      </c>
      <c r="S228" s="11">
        <f>+H228*$M$16</f>
        <v>0</v>
      </c>
      <c r="T228" s="11">
        <f>+H228*$M$16</f>
        <v>0</v>
      </c>
      <c r="U228" s="11">
        <f>+H228*$M$16</f>
        <v>0</v>
      </c>
      <c r="V228" s="11">
        <f>+H228*$M$16</f>
        <v>0</v>
      </c>
      <c r="W228" s="11">
        <f>+H228*$M$16</f>
        <v>0</v>
      </c>
      <c r="X228" s="11">
        <f>+H228*$M$16</f>
        <v>0</v>
      </c>
      <c r="Y228" s="4" t="s">
        <v>10</v>
      </c>
    </row>
    <row r="229" spans="1:28" x14ac:dyDescent="0.25">
      <c r="A229" s="17" t="s">
        <v>12</v>
      </c>
      <c r="B229" s="17"/>
      <c r="G229" s="2" t="s">
        <v>13</v>
      </c>
      <c r="H229" s="3">
        <f>(((B225+(B226*2)+B229+(B230*2))*30)+(B239*C239*30*2)+(B241*30))*1.1</f>
        <v>0</v>
      </c>
      <c r="I229" s="105">
        <f>H229/1000</f>
        <v>0</v>
      </c>
      <c r="J229" s="106">
        <f>ROUNDUP(I229,0)</f>
        <v>0</v>
      </c>
      <c r="M229" s="10"/>
      <c r="N229" s="10"/>
      <c r="O229" s="10"/>
      <c r="P229" s="23" t="s">
        <v>90</v>
      </c>
      <c r="Q229" s="11">
        <f>$J$229*$M$30</f>
        <v>0</v>
      </c>
      <c r="R229" s="11">
        <f t="shared" ref="R229:X229" si="62">$J$229*$M$30</f>
        <v>0</v>
      </c>
      <c r="S229" s="11">
        <f t="shared" si="62"/>
        <v>0</v>
      </c>
      <c r="T229" s="11">
        <f t="shared" si="62"/>
        <v>0</v>
      </c>
      <c r="U229" s="11">
        <f t="shared" si="62"/>
        <v>0</v>
      </c>
      <c r="V229" s="11">
        <f t="shared" si="62"/>
        <v>0</v>
      </c>
      <c r="W229" s="11">
        <f t="shared" si="62"/>
        <v>0</v>
      </c>
      <c r="X229" s="11">
        <f t="shared" si="62"/>
        <v>0</v>
      </c>
      <c r="Y229" s="4" t="s">
        <v>12</v>
      </c>
      <c r="Z229">
        <v>30.96</v>
      </c>
      <c r="AA229">
        <f>B229</f>
        <v>0</v>
      </c>
      <c r="AB229">
        <f t="shared" ref="AB229:AB230" si="63">Z229*AA229</f>
        <v>0</v>
      </c>
    </row>
    <row r="230" spans="1:28" x14ac:dyDescent="0.25">
      <c r="A230" s="17" t="s">
        <v>14</v>
      </c>
      <c r="B230" s="17"/>
      <c r="G230" s="2" t="s">
        <v>15</v>
      </c>
      <c r="H230" s="3">
        <f>(H227*0.4)*1.1</f>
        <v>0</v>
      </c>
      <c r="M230" s="10"/>
      <c r="N230" s="10"/>
      <c r="O230" s="10"/>
      <c r="P230" s="23" t="s">
        <v>92</v>
      </c>
      <c r="Q230" s="11">
        <f>B250*$M$26</f>
        <v>0</v>
      </c>
      <c r="R230" s="11">
        <f>B250*$M$26</f>
        <v>0</v>
      </c>
      <c r="S230" s="11">
        <f>B250*$M$26</f>
        <v>0</v>
      </c>
      <c r="T230" s="11">
        <f>B250*$M$26</f>
        <v>0</v>
      </c>
      <c r="U230" s="11">
        <f>B250*$M$26</f>
        <v>0</v>
      </c>
      <c r="V230" s="11">
        <f>B250*$M$26</f>
        <v>0</v>
      </c>
      <c r="W230" s="11">
        <f>B250*$M$26</f>
        <v>0</v>
      </c>
      <c r="X230" s="11">
        <f>B250*$M$26</f>
        <v>0</v>
      </c>
      <c r="Y230" s="4" t="s">
        <v>14</v>
      </c>
      <c r="Z230">
        <v>40.32</v>
      </c>
      <c r="AA230">
        <f>B230</f>
        <v>0</v>
      </c>
      <c r="AB230">
        <f t="shared" si="63"/>
        <v>0</v>
      </c>
    </row>
    <row r="231" spans="1:28" x14ac:dyDescent="0.25">
      <c r="B231" s="18"/>
      <c r="G231" s="2" t="s">
        <v>71</v>
      </c>
      <c r="H231" s="3">
        <f>(8*B236+B247)*1.1</f>
        <v>0</v>
      </c>
      <c r="M231" s="10"/>
      <c r="N231" s="10"/>
      <c r="O231" s="10"/>
      <c r="P231" s="23" t="s">
        <v>85</v>
      </c>
      <c r="Q231" s="11">
        <f>+H231*$M$12</f>
        <v>0</v>
      </c>
      <c r="R231" s="11">
        <f>+H231*$M$15</f>
        <v>0</v>
      </c>
      <c r="S231" s="11">
        <f>+H231*$M$12</f>
        <v>0</v>
      </c>
      <c r="T231" s="11">
        <f>+H231*$M$12</f>
        <v>0</v>
      </c>
      <c r="U231" s="11">
        <f>+H231*$M$12</f>
        <v>0</v>
      </c>
      <c r="V231" s="11">
        <f>+H231*$M$15</f>
        <v>0</v>
      </c>
      <c r="W231" s="11">
        <f>+H231*$M$12</f>
        <v>0</v>
      </c>
      <c r="X231" s="11">
        <f>+H231*$M$12</f>
        <v>0</v>
      </c>
      <c r="Y231" s="4"/>
    </row>
    <row r="232" spans="1:28" x14ac:dyDescent="0.25">
      <c r="A232" s="21" t="s">
        <v>77</v>
      </c>
      <c r="B232" s="17"/>
      <c r="G232" s="2" t="s">
        <v>16</v>
      </c>
      <c r="H232" s="3">
        <f>(B236*6)</f>
        <v>0</v>
      </c>
      <c r="M232" s="10"/>
      <c r="N232" s="10"/>
      <c r="O232" s="10"/>
      <c r="P232" s="23" t="s">
        <v>84</v>
      </c>
      <c r="Q232" s="11">
        <f>B251*$M$27</f>
        <v>0</v>
      </c>
      <c r="R232" s="11">
        <f>B251*$M$27</f>
        <v>0</v>
      </c>
      <c r="S232" s="11">
        <f>B251*$M$27</f>
        <v>0</v>
      </c>
      <c r="T232" s="11">
        <f>B251*$M$27</f>
        <v>0</v>
      </c>
      <c r="U232" s="11">
        <f>B251*$M$27</f>
        <v>0</v>
      </c>
      <c r="V232" s="11">
        <f>B251*$M$27</f>
        <v>0</v>
      </c>
      <c r="W232" s="11">
        <f>B251*$M$27</f>
        <v>0</v>
      </c>
      <c r="X232" s="11">
        <f>B251*$M$27</f>
        <v>0</v>
      </c>
      <c r="Y232" s="4" t="s">
        <v>77</v>
      </c>
      <c r="Z232">
        <v>16.2</v>
      </c>
      <c r="AA232">
        <f>B232</f>
        <v>0</v>
      </c>
      <c r="AB232">
        <f t="shared" ref="AB232:AB235" si="64">Z232*AA232</f>
        <v>0</v>
      </c>
    </row>
    <row r="233" spans="1:28" x14ac:dyDescent="0.25">
      <c r="A233" s="21" t="s">
        <v>78</v>
      </c>
      <c r="B233" s="17"/>
      <c r="G233" s="2" t="s">
        <v>17</v>
      </c>
      <c r="H233" s="3">
        <f>H227/0.3</f>
        <v>0</v>
      </c>
      <c r="M233" s="10"/>
      <c r="N233" s="10"/>
      <c r="O233" s="10"/>
      <c r="P233" s="23" t="s">
        <v>68</v>
      </c>
      <c r="Q233" s="11">
        <f>H238*$M$28</f>
        <v>0</v>
      </c>
      <c r="R233" s="11">
        <f>H238*$M$28</f>
        <v>0</v>
      </c>
      <c r="S233" s="11">
        <f>H238*$M$28</f>
        <v>0</v>
      </c>
      <c r="T233" s="11">
        <f>H238*$M$28</f>
        <v>0</v>
      </c>
      <c r="U233" s="11">
        <f>H238*$M$28</f>
        <v>0</v>
      </c>
      <c r="V233" s="11">
        <f>H238*$M$28</f>
        <v>0</v>
      </c>
      <c r="W233" s="11">
        <f>H238*$M$28</f>
        <v>0</v>
      </c>
      <c r="X233" s="11">
        <f>H238*$M$28</f>
        <v>0</v>
      </c>
      <c r="Y233" s="4" t="s">
        <v>78</v>
      </c>
      <c r="Z233">
        <v>18</v>
      </c>
      <c r="AA233">
        <f>B233</f>
        <v>0</v>
      </c>
      <c r="AB233">
        <f t="shared" si="64"/>
        <v>0</v>
      </c>
    </row>
    <row r="234" spans="1:28" x14ac:dyDescent="0.25">
      <c r="B234" s="19"/>
      <c r="G234" s="2" t="s">
        <v>570</v>
      </c>
      <c r="H234" s="3">
        <f>B241*1.1</f>
        <v>0</v>
      </c>
      <c r="M234" s="10"/>
      <c r="N234" s="10"/>
      <c r="O234" s="10"/>
      <c r="P234" s="23" t="s">
        <v>91</v>
      </c>
      <c r="Q234" s="11">
        <f>B233*(18*0.014)*$M$25*1.1</f>
        <v>0</v>
      </c>
      <c r="R234" s="11">
        <f>B233*$M$25*1.1</f>
        <v>0</v>
      </c>
      <c r="S234" s="11">
        <f>B233*$M$25*1.1</f>
        <v>0</v>
      </c>
      <c r="T234" s="11">
        <f>B233*$M$25*1.1</f>
        <v>0</v>
      </c>
      <c r="U234" s="11">
        <f>B233*$M$25*1.1</f>
        <v>0</v>
      </c>
      <c r="V234" s="11">
        <f>B233*$M$25*1.1</f>
        <v>0</v>
      </c>
      <c r="W234" s="11">
        <f>B233*$M$25*1.1</f>
        <v>0</v>
      </c>
      <c r="X234" s="11">
        <f>B233*$M$25*1.1</f>
        <v>0</v>
      </c>
      <c r="Y234" s="4" t="s">
        <v>567</v>
      </c>
      <c r="Z234">
        <v>18.5</v>
      </c>
      <c r="AA234">
        <f>B241</f>
        <v>0</v>
      </c>
      <c r="AB234">
        <f t="shared" si="64"/>
        <v>0</v>
      </c>
    </row>
    <row r="235" spans="1:28" ht="15.75" x14ac:dyDescent="0.25">
      <c r="B235" s="16" t="s">
        <v>18</v>
      </c>
      <c r="G235" s="6" t="s">
        <v>19</v>
      </c>
      <c r="H235" s="3" t="s">
        <v>20</v>
      </c>
      <c r="I235" s="4" t="s">
        <v>21</v>
      </c>
      <c r="M235" s="10"/>
      <c r="N235" s="10"/>
      <c r="O235" s="10"/>
      <c r="P235" s="23" t="s">
        <v>96</v>
      </c>
      <c r="Q235" s="11">
        <f>$B$252</f>
        <v>0</v>
      </c>
      <c r="R235" s="11">
        <f t="shared" ref="R235:X235" si="65">$B$252</f>
        <v>0</v>
      </c>
      <c r="S235" s="11">
        <f t="shared" si="65"/>
        <v>0</v>
      </c>
      <c r="T235" s="11">
        <f t="shared" si="65"/>
        <v>0</v>
      </c>
      <c r="U235" s="11">
        <f t="shared" si="65"/>
        <v>0</v>
      </c>
      <c r="V235" s="11">
        <f t="shared" si="65"/>
        <v>0</v>
      </c>
      <c r="W235" s="11">
        <f t="shared" si="65"/>
        <v>0</v>
      </c>
      <c r="X235" s="11">
        <f t="shared" si="65"/>
        <v>0</v>
      </c>
      <c r="Y235" s="4" t="s">
        <v>568</v>
      </c>
      <c r="Z235">
        <v>11.98</v>
      </c>
      <c r="AA235">
        <f>B242</f>
        <v>0</v>
      </c>
      <c r="AB235">
        <f t="shared" si="64"/>
        <v>0</v>
      </c>
    </row>
    <row r="236" spans="1:28" x14ac:dyDescent="0.25">
      <c r="A236" s="21" t="s">
        <v>22</v>
      </c>
      <c r="B236" s="17"/>
      <c r="G236" s="2" t="s">
        <v>23</v>
      </c>
      <c r="H236" s="3">
        <f>(((B225+B226+B229+B230+B241)*2)*0.25*0.3)+(B232*0.32*1.1)</f>
        <v>0</v>
      </c>
      <c r="I236" s="9">
        <f>H236/10</f>
        <v>0</v>
      </c>
      <c r="J236" s="9"/>
      <c r="M236" s="10"/>
      <c r="N236" s="10"/>
      <c r="O236" s="10"/>
      <c r="P236" s="23" t="s">
        <v>23</v>
      </c>
      <c r="Q236" s="11">
        <f>+I236*$M$23</f>
        <v>0</v>
      </c>
      <c r="R236" s="11">
        <f>+I236*$M$23</f>
        <v>0</v>
      </c>
      <c r="S236" s="11">
        <f>+I236*$M$23</f>
        <v>0</v>
      </c>
      <c r="T236" s="11">
        <f>+I236*$M$23</f>
        <v>0</v>
      </c>
      <c r="U236" s="11">
        <f>+I236*$M$23</f>
        <v>0</v>
      </c>
      <c r="V236" s="11">
        <f>+I236*$M$23</f>
        <v>0</v>
      </c>
      <c r="W236" s="11">
        <f>+I236*$M$23</f>
        <v>0</v>
      </c>
      <c r="X236" s="11">
        <f>+I236*$M$23</f>
        <v>0</v>
      </c>
      <c r="Y236" s="4" t="s">
        <v>22</v>
      </c>
      <c r="Z236">
        <v>16.38</v>
      </c>
      <c r="AA236">
        <f>B236</f>
        <v>0</v>
      </c>
      <c r="AB236">
        <f t="shared" ref="AB236" si="66">Z236*AA236</f>
        <v>0</v>
      </c>
    </row>
    <row r="237" spans="1:28" x14ac:dyDescent="0.25">
      <c r="B237" s="19"/>
      <c r="G237" s="2" t="s">
        <v>24</v>
      </c>
      <c r="H237" s="3">
        <f>(((B225+B226+B229+B230+B241)*2)*0.25*0.3)+(B232*0.32*1.1)</f>
        <v>0</v>
      </c>
      <c r="I237" s="9">
        <f>H237/10</f>
        <v>0</v>
      </c>
      <c r="J237" s="9"/>
      <c r="M237" s="10"/>
      <c r="N237" s="10"/>
      <c r="O237" s="10"/>
      <c r="P237" s="23" t="s">
        <v>24</v>
      </c>
      <c r="Q237" s="11">
        <f>+I237*$M$24</f>
        <v>0</v>
      </c>
      <c r="R237" s="11">
        <f>+I237*$M$24</f>
        <v>0</v>
      </c>
      <c r="S237" s="11">
        <f>+I237*$M$24</f>
        <v>0</v>
      </c>
      <c r="T237" s="11">
        <f>+I237*$M$24</f>
        <v>0</v>
      </c>
      <c r="U237" s="11">
        <f>+I237*$M$24</f>
        <v>0</v>
      </c>
      <c r="V237" s="11">
        <f>+I237*$M$24</f>
        <v>0</v>
      </c>
      <c r="W237" s="11">
        <f>+I237*$M$24</f>
        <v>0</v>
      </c>
      <c r="X237" s="11">
        <f>+I237*$M$24</f>
        <v>0</v>
      </c>
      <c r="Y237" s="4"/>
    </row>
    <row r="238" spans="1:28" x14ac:dyDescent="0.25">
      <c r="A238" s="13"/>
      <c r="B238" s="16" t="s">
        <v>25</v>
      </c>
      <c r="C238" s="1" t="s">
        <v>26</v>
      </c>
      <c r="D238" s="1"/>
      <c r="G238" s="2" t="s">
        <v>68</v>
      </c>
      <c r="H238" s="3">
        <f>B244/3</f>
        <v>0</v>
      </c>
      <c r="M238" s="10"/>
      <c r="N238" s="10"/>
      <c r="O238" s="10"/>
      <c r="P238" s="23" t="s">
        <v>570</v>
      </c>
      <c r="Q238" s="11">
        <f>$B$241*$M$29</f>
        <v>0</v>
      </c>
      <c r="R238" s="11">
        <f t="shared" ref="R238:X238" si="67">$B$241*$M$29</f>
        <v>0</v>
      </c>
      <c r="S238" s="11">
        <f t="shared" si="67"/>
        <v>0</v>
      </c>
      <c r="T238" s="11">
        <f t="shared" si="67"/>
        <v>0</v>
      </c>
      <c r="U238" s="11">
        <f t="shared" si="67"/>
        <v>0</v>
      </c>
      <c r="V238" s="11">
        <f t="shared" si="67"/>
        <v>0</v>
      </c>
      <c r="W238" s="11">
        <f t="shared" si="67"/>
        <v>0</v>
      </c>
      <c r="X238" s="11">
        <f t="shared" si="67"/>
        <v>0</v>
      </c>
      <c r="Y238" s="4"/>
    </row>
    <row r="239" spans="1:28" ht="15.75" x14ac:dyDescent="0.25">
      <c r="A239" s="21" t="s">
        <v>94</v>
      </c>
      <c r="B239" s="17"/>
      <c r="C239" s="15"/>
      <c r="G239" s="6" t="s">
        <v>27</v>
      </c>
      <c r="H239" s="3" t="s">
        <v>28</v>
      </c>
      <c r="I239" s="4" t="s">
        <v>29</v>
      </c>
      <c r="M239" s="10"/>
      <c r="N239" s="10"/>
      <c r="O239" s="10"/>
      <c r="P239" s="23"/>
      <c r="Y239" s="4" t="s">
        <v>94</v>
      </c>
      <c r="Z239">
        <v>37.44</v>
      </c>
      <c r="AA239">
        <f>B239</f>
        <v>0</v>
      </c>
      <c r="AB239">
        <f t="shared" ref="AB239:AB240" si="68">Z239*AA239</f>
        <v>0</v>
      </c>
    </row>
    <row r="240" spans="1:28" x14ac:dyDescent="0.25">
      <c r="B240" s="19"/>
      <c r="G240" s="2" t="s">
        <v>30</v>
      </c>
      <c r="H240" s="3">
        <f>(B225+B226+B229+B230)*2*2.4</f>
        <v>0</v>
      </c>
      <c r="I240" s="4">
        <f>H240/20</f>
        <v>0</v>
      </c>
      <c r="M240" s="10"/>
      <c r="N240" s="10"/>
      <c r="O240" s="10"/>
      <c r="P240" s="23"/>
      <c r="Y240" s="4"/>
      <c r="AA240" s="33">
        <f>(H236+H237)/0.2</f>
        <v>0</v>
      </c>
      <c r="AB240">
        <f t="shared" si="68"/>
        <v>0</v>
      </c>
    </row>
    <row r="241" spans="1:28" x14ac:dyDescent="0.25">
      <c r="A241" s="21" t="s">
        <v>567</v>
      </c>
      <c r="B241" s="17"/>
      <c r="M241" s="10"/>
      <c r="N241" s="10"/>
      <c r="O241" s="10"/>
      <c r="P241" s="23"/>
      <c r="Y241" s="4" t="s">
        <v>567</v>
      </c>
      <c r="AA241" s="33"/>
    </row>
    <row r="242" spans="1:28" x14ac:dyDescent="0.25">
      <c r="A242" s="21" t="s">
        <v>568</v>
      </c>
      <c r="B242" s="17"/>
      <c r="M242" s="10"/>
      <c r="N242" s="10"/>
      <c r="O242" s="10"/>
      <c r="P242" s="23"/>
      <c r="Y242" s="4" t="s">
        <v>568</v>
      </c>
      <c r="AA242" s="33"/>
    </row>
    <row r="243" spans="1:28" x14ac:dyDescent="0.25">
      <c r="B243" s="16" t="s">
        <v>69</v>
      </c>
      <c r="G243" s="2" t="s">
        <v>31</v>
      </c>
      <c r="H243" s="3">
        <f>(B225+B226+B229+B230)*2*2.4</f>
        <v>0</v>
      </c>
      <c r="I243" s="4">
        <f>H243/20</f>
        <v>0</v>
      </c>
      <c r="M243" s="10"/>
      <c r="N243" s="10"/>
      <c r="O243" s="10"/>
      <c r="P243" s="23"/>
      <c r="Y243" s="4"/>
    </row>
    <row r="244" spans="1:28" x14ac:dyDescent="0.25">
      <c r="A244" s="21" t="s">
        <v>68</v>
      </c>
      <c r="B244" s="17"/>
      <c r="G244" s="2" t="s">
        <v>32</v>
      </c>
      <c r="H244" s="3">
        <f>(B225+B226+B229+B230)*2*0.6</f>
        <v>0</v>
      </c>
      <c r="I244" s="4">
        <f>H244/10</f>
        <v>0</v>
      </c>
      <c r="M244" s="10"/>
      <c r="N244" s="10"/>
      <c r="O244" s="10"/>
      <c r="P244" s="23"/>
      <c r="Y244" s="4" t="s">
        <v>68</v>
      </c>
      <c r="AA244">
        <f>B244</f>
        <v>0</v>
      </c>
      <c r="AB244">
        <f t="shared" ref="AB244" si="69">Z244*AA244</f>
        <v>0</v>
      </c>
    </row>
    <row r="245" spans="1:28" x14ac:dyDescent="0.25">
      <c r="A245" s="22" t="s">
        <v>73</v>
      </c>
      <c r="B245" s="18"/>
      <c r="M245" s="10"/>
      <c r="N245" s="10"/>
      <c r="O245" s="10"/>
      <c r="P245" s="23"/>
      <c r="Y245" s="22" t="s">
        <v>73</v>
      </c>
    </row>
    <row r="246" spans="1:28" ht="15.75" x14ac:dyDescent="0.25">
      <c r="B246" s="20" t="s">
        <v>69</v>
      </c>
      <c r="G246" s="6" t="s">
        <v>33</v>
      </c>
      <c r="M246" s="10"/>
      <c r="N246" s="10"/>
      <c r="O246" s="10"/>
      <c r="P246" s="23"/>
      <c r="Y246" s="4"/>
    </row>
    <row r="247" spans="1:28" x14ac:dyDescent="0.25">
      <c r="A247" s="21" t="s">
        <v>70</v>
      </c>
      <c r="B247" s="17"/>
      <c r="H247" s="3" t="s">
        <v>20</v>
      </c>
      <c r="I247" s="4" t="s">
        <v>34</v>
      </c>
      <c r="M247" s="10"/>
      <c r="N247" s="10"/>
      <c r="O247" s="10"/>
      <c r="P247" s="23"/>
      <c r="Y247" s="4" t="s">
        <v>70</v>
      </c>
      <c r="Z247">
        <v>1.7</v>
      </c>
      <c r="AA247">
        <f>B247</f>
        <v>0</v>
      </c>
      <c r="AB247">
        <f t="shared" ref="AB247" si="70">Z247*AA247</f>
        <v>0</v>
      </c>
    </row>
    <row r="248" spans="1:28" x14ac:dyDescent="0.25">
      <c r="A248" s="22" t="s">
        <v>72</v>
      </c>
      <c r="B248" s="18"/>
      <c r="G248" s="2" t="s">
        <v>35</v>
      </c>
      <c r="H248" s="3">
        <f>(B225+B226+B229+B230)*0.22222</f>
        <v>0</v>
      </c>
      <c r="I248" s="9">
        <f>(H248/18)*1.1</f>
        <v>0</v>
      </c>
      <c r="J248" s="9"/>
      <c r="M248" s="10"/>
      <c r="N248" s="10"/>
      <c r="O248" s="10"/>
      <c r="P248" s="23"/>
    </row>
    <row r="249" spans="1:28" x14ac:dyDescent="0.25">
      <c r="B249" s="18"/>
      <c r="G249" s="2" t="s">
        <v>36</v>
      </c>
      <c r="H249" s="3">
        <f>(B225+B226+B229+B230)*0.25</f>
        <v>0</v>
      </c>
      <c r="I249" s="9">
        <f>(H249/18)*1.1</f>
        <v>0</v>
      </c>
      <c r="J249" s="9"/>
      <c r="AB249">
        <f>SUM(AB225:AB247)</f>
        <v>0</v>
      </c>
    </row>
    <row r="250" spans="1:28" x14ac:dyDescent="0.25">
      <c r="A250" s="21" t="s">
        <v>82</v>
      </c>
      <c r="B250" s="17"/>
      <c r="C250" s="25" t="s">
        <v>83</v>
      </c>
    </row>
    <row r="251" spans="1:28" x14ac:dyDescent="0.25">
      <c r="A251" s="21" t="s">
        <v>84</v>
      </c>
      <c r="B251" s="17"/>
      <c r="C251" s="25" t="s">
        <v>98</v>
      </c>
    </row>
    <row r="252" spans="1:28" x14ac:dyDescent="0.25">
      <c r="A252" s="27" t="s">
        <v>96</v>
      </c>
      <c r="B252" s="24"/>
      <c r="C252" s="26" t="s">
        <v>97</v>
      </c>
    </row>
    <row r="254" spans="1:28" x14ac:dyDescent="0.25">
      <c r="P254" s="12"/>
      <c r="Q254" s="14">
        <f>SUM(Q225:Q250)</f>
        <v>0</v>
      </c>
      <c r="R254" s="14">
        <f t="shared" ref="R254" si="71">SUM(R225:R250)</f>
        <v>0</v>
      </c>
      <c r="S254" s="14">
        <f t="shared" ref="S254" si="72">SUM(S225:S250)</f>
        <v>0</v>
      </c>
      <c r="T254" s="14">
        <f t="shared" ref="T254" si="73">SUM(T225:T250)</f>
        <v>0</v>
      </c>
      <c r="U254" s="14">
        <f t="shared" ref="U254" si="74">SUM(U225:U250)</f>
        <v>0</v>
      </c>
      <c r="V254" s="14">
        <f t="shared" ref="V254" si="75">SUM(V225:V250)</f>
        <v>0</v>
      </c>
      <c r="W254" s="14">
        <f t="shared" ref="W254" si="76">SUM(W225:W250)</f>
        <v>0</v>
      </c>
      <c r="X254" s="14">
        <f t="shared" ref="X254" si="77">SUM(X225:X250)</f>
        <v>0</v>
      </c>
    </row>
    <row r="255" spans="1:28" x14ac:dyDescent="0.25">
      <c r="A255" s="13" t="s">
        <v>66</v>
      </c>
      <c r="B255" s="13" t="s">
        <v>56</v>
      </c>
      <c r="C255" s="14">
        <f>SUMIF(Q256:Q263,B255,R256:R263)/((100-B256)/100)</f>
        <v>0</v>
      </c>
      <c r="D255" s="14"/>
    </row>
    <row r="256" spans="1:28" x14ac:dyDescent="0.25">
      <c r="A256" s="13" t="s">
        <v>169</v>
      </c>
      <c r="B256" s="13"/>
      <c r="C256" s="1"/>
      <c r="D256" s="1"/>
      <c r="Q256" s="13" t="s">
        <v>56</v>
      </c>
      <c r="R256" s="11">
        <f>Q254/((100-B260)/100)</f>
        <v>0</v>
      </c>
    </row>
    <row r="257" spans="1:28" x14ac:dyDescent="0.25">
      <c r="Q257" s="13" t="s">
        <v>55</v>
      </c>
      <c r="R257" s="11">
        <f>R254/((100-B260)/100)</f>
        <v>0</v>
      </c>
    </row>
    <row r="258" spans="1:28" x14ac:dyDescent="0.25">
      <c r="A258" s="13" t="s">
        <v>76</v>
      </c>
      <c r="C258" s="37">
        <f>AB249*((100+B259)/100)</f>
        <v>0</v>
      </c>
      <c r="Q258" s="13" t="s">
        <v>57</v>
      </c>
      <c r="R258" s="11">
        <f>S254/((100-B260)/100)</f>
        <v>0</v>
      </c>
    </row>
    <row r="259" spans="1:28" x14ac:dyDescent="0.25">
      <c r="A259" s="13" t="s">
        <v>154</v>
      </c>
      <c r="B259" s="4">
        <v>0</v>
      </c>
      <c r="Q259" s="13" t="s">
        <v>58</v>
      </c>
      <c r="R259" s="11">
        <f>T254/((100-B260)/100)</f>
        <v>0</v>
      </c>
    </row>
    <row r="260" spans="1:28" x14ac:dyDescent="0.25">
      <c r="Q260" s="13" t="s">
        <v>59</v>
      </c>
      <c r="R260" s="11">
        <f>U254/((100-B260)/100)</f>
        <v>0</v>
      </c>
    </row>
    <row r="261" spans="1:28" x14ac:dyDescent="0.25">
      <c r="Q261" s="13" t="s">
        <v>61</v>
      </c>
      <c r="R261" s="11">
        <f>V254/((100-B260)/100)</f>
        <v>0</v>
      </c>
    </row>
    <row r="262" spans="1:28" x14ac:dyDescent="0.25">
      <c r="Q262" s="13" t="s">
        <v>62</v>
      </c>
      <c r="R262" s="11">
        <f>W254/((100-B260)/100)</f>
        <v>0</v>
      </c>
    </row>
    <row r="263" spans="1:28" x14ac:dyDescent="0.25">
      <c r="Q263" s="13" t="s">
        <v>63</v>
      </c>
      <c r="R263" s="11">
        <f>X254/((100-B260)/100)</f>
        <v>0</v>
      </c>
    </row>
    <row r="264" spans="1:28" x14ac:dyDescent="0.25">
      <c r="A264" s="13" t="s">
        <v>112</v>
      </c>
      <c r="B264" s="13" t="s">
        <v>79</v>
      </c>
    </row>
    <row r="265" spans="1:28" x14ac:dyDescent="0.25">
      <c r="A265" s="13" t="s">
        <v>102</v>
      </c>
    </row>
    <row r="266" spans="1:28" ht="15.75" x14ac:dyDescent="0.25">
      <c r="G266" s="5" t="s">
        <v>0</v>
      </c>
    </row>
    <row r="267" spans="1:28" ht="15.75" x14ac:dyDescent="0.25">
      <c r="A267" s="13" t="s">
        <v>1</v>
      </c>
      <c r="B267" s="16" t="s">
        <v>2</v>
      </c>
      <c r="G267" s="6"/>
      <c r="H267" s="7" t="s">
        <v>3</v>
      </c>
      <c r="K267" s="8"/>
      <c r="L267" s="8"/>
      <c r="M267" s="8"/>
      <c r="N267" s="8"/>
      <c r="O267" s="8"/>
      <c r="P267" s="6"/>
      <c r="Q267" s="1" t="s">
        <v>56</v>
      </c>
      <c r="R267" s="1" t="s">
        <v>55</v>
      </c>
      <c r="S267" s="12" t="s">
        <v>57</v>
      </c>
      <c r="T267" s="13" t="s">
        <v>58</v>
      </c>
      <c r="U267" s="13" t="s">
        <v>59</v>
      </c>
      <c r="V267" s="13" t="s">
        <v>61</v>
      </c>
      <c r="W267" s="13" t="s">
        <v>62</v>
      </c>
      <c r="X267" s="13" t="s">
        <v>63</v>
      </c>
      <c r="Z267" s="13" t="s">
        <v>554</v>
      </c>
      <c r="AA267" s="13" t="s">
        <v>198</v>
      </c>
      <c r="AB267" s="13" t="s">
        <v>209</v>
      </c>
    </row>
    <row r="268" spans="1:28" x14ac:dyDescent="0.25">
      <c r="A268" s="17" t="s">
        <v>4</v>
      </c>
      <c r="B268" s="17"/>
      <c r="G268" s="2" t="s">
        <v>5</v>
      </c>
      <c r="H268" s="3">
        <f>(((B268*2)+(B269*4)+(B272*2)+(B273*4))+((B282*C282)*2)+(B275)+(B284))*1.1</f>
        <v>0</v>
      </c>
      <c r="M268" s="10"/>
      <c r="N268" s="10"/>
      <c r="O268" s="10"/>
      <c r="P268" s="23" t="s">
        <v>86</v>
      </c>
      <c r="Q268" s="11">
        <f>H268*$M$7</f>
        <v>0</v>
      </c>
      <c r="R268" s="11">
        <f>H268*$M$7</f>
        <v>0</v>
      </c>
      <c r="S268" s="11">
        <f>H268*$M$7</f>
        <v>0</v>
      </c>
      <c r="T268" s="11">
        <f>H268*$M$7</f>
        <v>0</v>
      </c>
      <c r="U268" s="11">
        <f>H268*($M$7/2)+(H268*$M$25/2)</f>
        <v>0</v>
      </c>
      <c r="V268" s="11">
        <f>H268*($M$7/2)+(H268*$M$25/2)</f>
        <v>0</v>
      </c>
      <c r="W268" s="11">
        <f>H268*($M$7/2)+(H268*$M$25/2)</f>
        <v>0</v>
      </c>
      <c r="X268" s="11">
        <f>H268*($M$7/2)+(H268*$M$25/2)</f>
        <v>0</v>
      </c>
      <c r="Y268" s="4" t="s">
        <v>4</v>
      </c>
      <c r="Z268">
        <v>27.9</v>
      </c>
      <c r="AA268">
        <f>B268</f>
        <v>0</v>
      </c>
      <c r="AB268">
        <f>Z268*AA268</f>
        <v>0</v>
      </c>
    </row>
    <row r="269" spans="1:28" x14ac:dyDescent="0.25">
      <c r="A269" s="17" t="s">
        <v>6</v>
      </c>
      <c r="B269" s="17"/>
      <c r="G269" s="2" t="s">
        <v>7</v>
      </c>
      <c r="H269" s="3">
        <f>(((B268+B269+(B272*2)+(B273*2))*1.667)+(B282*1.667*C282))*1.1</f>
        <v>0</v>
      </c>
      <c r="I269" s="4" t="s">
        <v>8</v>
      </c>
      <c r="M269" s="10"/>
      <c r="N269" s="10"/>
      <c r="O269" s="10"/>
      <c r="P269" s="23" t="s">
        <v>87</v>
      </c>
      <c r="Q269" s="11">
        <f>H269*$M$10</f>
        <v>0</v>
      </c>
      <c r="R269" s="11">
        <f>H269*$M$13</f>
        <v>0</v>
      </c>
      <c r="S269" s="11">
        <f>H269*$M$19</f>
        <v>0</v>
      </c>
      <c r="T269" s="11">
        <f>H269*$M$21</f>
        <v>0</v>
      </c>
      <c r="U269" s="11">
        <f>H269*$M$10</f>
        <v>0</v>
      </c>
      <c r="V269" s="11">
        <f>H269*$M$13</f>
        <v>0</v>
      </c>
      <c r="W269" s="11">
        <f>H269*$M$19</f>
        <v>0</v>
      </c>
      <c r="X269" s="11">
        <f>H269*$M$21</f>
        <v>0</v>
      </c>
      <c r="Y269" s="4" t="s">
        <v>6</v>
      </c>
      <c r="Z269">
        <v>37.44</v>
      </c>
      <c r="AA269">
        <f>B269</f>
        <v>0</v>
      </c>
      <c r="AB269">
        <f>Z269*AA269</f>
        <v>0</v>
      </c>
    </row>
    <row r="270" spans="1:28" x14ac:dyDescent="0.25">
      <c r="B270" s="18"/>
      <c r="G270" s="2" t="s">
        <v>9</v>
      </c>
      <c r="H270" s="3">
        <f>(((B268+B269+B272+B273)*0.667)+(B282*2))*1.1</f>
        <v>0</v>
      </c>
      <c r="I270" s="9">
        <f>((B268+B269+B272+B273)*1.666667)*1.1</f>
        <v>0</v>
      </c>
      <c r="J270" s="9"/>
      <c r="M270" s="10"/>
      <c r="N270" s="10"/>
      <c r="O270" s="10"/>
      <c r="P270" s="23" t="s">
        <v>88</v>
      </c>
      <c r="Q270" s="11">
        <f>H270*$M$11</f>
        <v>0</v>
      </c>
      <c r="R270" s="11">
        <f>H270*$M$14</f>
        <v>0</v>
      </c>
      <c r="S270" s="11">
        <f>H270*$M$20</f>
        <v>0</v>
      </c>
      <c r="T270" s="11">
        <f>H270*$M$22</f>
        <v>0</v>
      </c>
      <c r="U270" s="11">
        <f>H270*$M$11</f>
        <v>0</v>
      </c>
      <c r="V270" s="11">
        <f>H270*$M$14</f>
        <v>0</v>
      </c>
      <c r="W270" s="11">
        <f>H270*$M$20</f>
        <v>0</v>
      </c>
      <c r="X270" s="11">
        <f>H270*$M$22</f>
        <v>0</v>
      </c>
      <c r="Y270" s="4"/>
    </row>
    <row r="271" spans="1:28" x14ac:dyDescent="0.25">
      <c r="A271" s="13" t="s">
        <v>10</v>
      </c>
      <c r="B271" s="18"/>
      <c r="G271" s="2" t="s">
        <v>11</v>
      </c>
      <c r="H271" s="3">
        <f>(B268+B269+B272+B273)*1.1</f>
        <v>0</v>
      </c>
      <c r="M271" s="10"/>
      <c r="N271" s="10"/>
      <c r="O271" s="10"/>
      <c r="P271" s="23" t="s">
        <v>89</v>
      </c>
      <c r="Q271" s="11">
        <f>+H271*$M$16</f>
        <v>0</v>
      </c>
      <c r="R271" s="11">
        <f>+H271*$M$16</f>
        <v>0</v>
      </c>
      <c r="S271" s="11">
        <f>+H271*$M$16</f>
        <v>0</v>
      </c>
      <c r="T271" s="11">
        <f>+H271*$M$16</f>
        <v>0</v>
      </c>
      <c r="U271" s="11">
        <f>+H271*$M$16</f>
        <v>0</v>
      </c>
      <c r="V271" s="11">
        <f>+H271*$M$16</f>
        <v>0</v>
      </c>
      <c r="W271" s="11">
        <f>+H271*$M$16</f>
        <v>0</v>
      </c>
      <c r="X271" s="11">
        <f>+H271*$M$16</f>
        <v>0</v>
      </c>
      <c r="Y271" s="4" t="s">
        <v>10</v>
      </c>
    </row>
    <row r="272" spans="1:28" x14ac:dyDescent="0.25">
      <c r="A272" s="17" t="s">
        <v>12</v>
      </c>
      <c r="B272" s="17"/>
      <c r="G272" s="2" t="s">
        <v>13</v>
      </c>
      <c r="H272" s="3">
        <f>(((B268+(B269*2)+B272+(B273*2))*30)+(B282*C282*30*2)+(B284*30))*1.1</f>
        <v>0</v>
      </c>
      <c r="I272" s="105">
        <f>H272/1000</f>
        <v>0</v>
      </c>
      <c r="J272" s="106">
        <f>ROUNDUP(I272,0)</f>
        <v>0</v>
      </c>
      <c r="M272" s="10"/>
      <c r="N272" s="10"/>
      <c r="O272" s="10"/>
      <c r="P272" s="23" t="s">
        <v>90</v>
      </c>
      <c r="Q272" s="11">
        <f>$J$272*$M$30</f>
        <v>0</v>
      </c>
      <c r="R272" s="11">
        <f t="shared" ref="R272:X272" si="78">$J$272*$M$30</f>
        <v>0</v>
      </c>
      <c r="S272" s="11">
        <f t="shared" si="78"/>
        <v>0</v>
      </c>
      <c r="T272" s="11">
        <f t="shared" si="78"/>
        <v>0</v>
      </c>
      <c r="U272" s="11">
        <f t="shared" si="78"/>
        <v>0</v>
      </c>
      <c r="V272" s="11">
        <f t="shared" si="78"/>
        <v>0</v>
      </c>
      <c r="W272" s="11">
        <f t="shared" si="78"/>
        <v>0</v>
      </c>
      <c r="X272" s="11">
        <f t="shared" si="78"/>
        <v>0</v>
      </c>
      <c r="Y272" s="4" t="s">
        <v>12</v>
      </c>
      <c r="Z272">
        <v>30.96</v>
      </c>
      <c r="AA272">
        <f>B272</f>
        <v>0</v>
      </c>
      <c r="AB272">
        <f t="shared" ref="AB272:AB273" si="79">Z272*AA272</f>
        <v>0</v>
      </c>
    </row>
    <row r="273" spans="1:28" x14ac:dyDescent="0.25">
      <c r="A273" s="17" t="s">
        <v>14</v>
      </c>
      <c r="B273" s="17"/>
      <c r="G273" s="2" t="s">
        <v>15</v>
      </c>
      <c r="H273" s="3">
        <f>(H270*0.4)*1.1</f>
        <v>0</v>
      </c>
      <c r="M273" s="10"/>
      <c r="N273" s="10"/>
      <c r="O273" s="10"/>
      <c r="P273" s="23" t="s">
        <v>92</v>
      </c>
      <c r="Q273" s="11">
        <f>B293*$M$26</f>
        <v>0</v>
      </c>
      <c r="R273" s="11">
        <f>B293*$M$26</f>
        <v>0</v>
      </c>
      <c r="S273" s="11">
        <f>B293*$M$26</f>
        <v>0</v>
      </c>
      <c r="T273" s="11">
        <f>B293*$M$26</f>
        <v>0</v>
      </c>
      <c r="U273" s="11">
        <f>B293*$M$26</f>
        <v>0</v>
      </c>
      <c r="V273" s="11">
        <f>B293*$M$26</f>
        <v>0</v>
      </c>
      <c r="W273" s="11">
        <f>B293*$M$26</f>
        <v>0</v>
      </c>
      <c r="X273" s="11">
        <f>B293*$M$26</f>
        <v>0</v>
      </c>
      <c r="Y273" s="4" t="s">
        <v>14</v>
      </c>
      <c r="Z273">
        <v>40.32</v>
      </c>
      <c r="AA273">
        <f>B273</f>
        <v>0</v>
      </c>
      <c r="AB273">
        <f t="shared" si="79"/>
        <v>0</v>
      </c>
    </row>
    <row r="274" spans="1:28" x14ac:dyDescent="0.25">
      <c r="B274" s="18"/>
      <c r="G274" s="2" t="s">
        <v>71</v>
      </c>
      <c r="H274" s="3">
        <f>(8*B279+B290)*1.1</f>
        <v>0</v>
      </c>
      <c r="M274" s="10"/>
      <c r="N274" s="10"/>
      <c r="O274" s="10"/>
      <c r="P274" s="23" t="s">
        <v>85</v>
      </c>
      <c r="Q274" s="11">
        <f>+H274*$M$12</f>
        <v>0</v>
      </c>
      <c r="R274" s="11">
        <f>+H274*$M$15</f>
        <v>0</v>
      </c>
      <c r="S274" s="11">
        <f>+H274*$M$12</f>
        <v>0</v>
      </c>
      <c r="T274" s="11">
        <f>+H274*$M$12</f>
        <v>0</v>
      </c>
      <c r="U274" s="11">
        <f>+H274*$M$12</f>
        <v>0</v>
      </c>
      <c r="V274" s="11">
        <f>+H274*$M$15</f>
        <v>0</v>
      </c>
      <c r="W274" s="11">
        <f>+H274*$M$12</f>
        <v>0</v>
      </c>
      <c r="X274" s="11">
        <f>+H274*$M$12</f>
        <v>0</v>
      </c>
      <c r="Y274" s="4"/>
    </row>
    <row r="275" spans="1:28" x14ac:dyDescent="0.25">
      <c r="A275" s="21" t="s">
        <v>77</v>
      </c>
      <c r="B275" s="17"/>
      <c r="G275" s="2" t="s">
        <v>16</v>
      </c>
      <c r="H275" s="3">
        <f>(B279*6)</f>
        <v>0</v>
      </c>
      <c r="M275" s="10"/>
      <c r="N275" s="10"/>
      <c r="O275" s="10"/>
      <c r="P275" s="23" t="s">
        <v>84</v>
      </c>
      <c r="Q275" s="11">
        <f>B294*$M$27</f>
        <v>0</v>
      </c>
      <c r="R275" s="11">
        <f>B294*$M$27</f>
        <v>0</v>
      </c>
      <c r="S275" s="11">
        <f>B294*$M$27</f>
        <v>0</v>
      </c>
      <c r="T275" s="11">
        <f>B294*$M$27</f>
        <v>0</v>
      </c>
      <c r="U275" s="11">
        <f>B294*$M$27</f>
        <v>0</v>
      </c>
      <c r="V275" s="11">
        <f>B294*$M$27</f>
        <v>0</v>
      </c>
      <c r="W275" s="11">
        <f>B294*$M$27</f>
        <v>0</v>
      </c>
      <c r="X275" s="11">
        <f>B294*$M$27</f>
        <v>0</v>
      </c>
      <c r="Y275" s="4" t="s">
        <v>77</v>
      </c>
      <c r="Z275">
        <v>16.2</v>
      </c>
      <c r="AA275">
        <f>B275</f>
        <v>0</v>
      </c>
      <c r="AB275">
        <f t="shared" ref="AB275:AB278" si="80">Z275*AA275</f>
        <v>0</v>
      </c>
    </row>
    <row r="276" spans="1:28" x14ac:dyDescent="0.25">
      <c r="A276" s="21" t="s">
        <v>78</v>
      </c>
      <c r="B276" s="17"/>
      <c r="G276" s="2" t="s">
        <v>17</v>
      </c>
      <c r="H276" s="3">
        <f>H270/0.3</f>
        <v>0</v>
      </c>
      <c r="M276" s="10"/>
      <c r="N276" s="10"/>
      <c r="O276" s="10"/>
      <c r="P276" s="23" t="s">
        <v>68</v>
      </c>
      <c r="Q276" s="11">
        <f>H281*$M$28</f>
        <v>0</v>
      </c>
      <c r="R276" s="11">
        <f>H281*$M$28</f>
        <v>0</v>
      </c>
      <c r="S276" s="11">
        <f>H281*$M$28</f>
        <v>0</v>
      </c>
      <c r="T276" s="11">
        <f>H281*$M$28</f>
        <v>0</v>
      </c>
      <c r="U276" s="11">
        <f>H281*$M$28</f>
        <v>0</v>
      </c>
      <c r="V276" s="11">
        <f>H281*$M$28</f>
        <v>0</v>
      </c>
      <c r="W276" s="11">
        <f>H281*$M$28</f>
        <v>0</v>
      </c>
      <c r="X276" s="11">
        <f>H281*$M$28</f>
        <v>0</v>
      </c>
      <c r="Y276" s="4" t="s">
        <v>78</v>
      </c>
      <c r="Z276">
        <v>18</v>
      </c>
      <c r="AA276">
        <f>B276</f>
        <v>0</v>
      </c>
      <c r="AB276">
        <f t="shared" si="80"/>
        <v>0</v>
      </c>
    </row>
    <row r="277" spans="1:28" x14ac:dyDescent="0.25">
      <c r="B277" s="19"/>
      <c r="G277" s="2" t="s">
        <v>570</v>
      </c>
      <c r="H277" s="3">
        <f>B284*1.1</f>
        <v>0</v>
      </c>
      <c r="M277" s="10"/>
      <c r="N277" s="10"/>
      <c r="O277" s="10"/>
      <c r="P277" s="23" t="s">
        <v>91</v>
      </c>
      <c r="Q277" s="11">
        <f>B276*(18*0.014)*$M$25*1.1</f>
        <v>0</v>
      </c>
      <c r="R277" s="11">
        <f>B276*$M$25*1.1</f>
        <v>0</v>
      </c>
      <c r="S277" s="11">
        <f>B276*$M$25*1.1</f>
        <v>0</v>
      </c>
      <c r="T277" s="11">
        <f>B276*$M$25*1.1</f>
        <v>0</v>
      </c>
      <c r="U277" s="11">
        <f>B276*$M$25*1.1</f>
        <v>0</v>
      </c>
      <c r="V277" s="11">
        <f>B276*$M$25*1.1</f>
        <v>0</v>
      </c>
      <c r="W277" s="11">
        <f>B276*$M$25*1.1</f>
        <v>0</v>
      </c>
      <c r="X277" s="11">
        <f>B276*$M$25*1.1</f>
        <v>0</v>
      </c>
      <c r="Y277" s="4" t="s">
        <v>567</v>
      </c>
      <c r="Z277">
        <v>18.5</v>
      </c>
      <c r="AA277">
        <f>B284</f>
        <v>0</v>
      </c>
      <c r="AB277">
        <f t="shared" si="80"/>
        <v>0</v>
      </c>
    </row>
    <row r="278" spans="1:28" ht="15.75" x14ac:dyDescent="0.25">
      <c r="B278" s="16" t="s">
        <v>18</v>
      </c>
      <c r="G278" s="6" t="s">
        <v>19</v>
      </c>
      <c r="H278" s="3" t="s">
        <v>20</v>
      </c>
      <c r="I278" s="4" t="s">
        <v>21</v>
      </c>
      <c r="M278" s="10"/>
      <c r="N278" s="10"/>
      <c r="O278" s="10"/>
      <c r="P278" s="23" t="s">
        <v>96</v>
      </c>
      <c r="Q278" s="11">
        <f>$B$295</f>
        <v>0</v>
      </c>
      <c r="R278" s="11">
        <f t="shared" ref="R278:X278" si="81">$B$295</f>
        <v>0</v>
      </c>
      <c r="S278" s="11">
        <f t="shared" si="81"/>
        <v>0</v>
      </c>
      <c r="T278" s="11">
        <f t="shared" si="81"/>
        <v>0</v>
      </c>
      <c r="U278" s="11">
        <f t="shared" si="81"/>
        <v>0</v>
      </c>
      <c r="V278" s="11">
        <f t="shared" si="81"/>
        <v>0</v>
      </c>
      <c r="W278" s="11">
        <f t="shared" si="81"/>
        <v>0</v>
      </c>
      <c r="X278" s="11">
        <f t="shared" si="81"/>
        <v>0</v>
      </c>
      <c r="Y278" s="4" t="s">
        <v>568</v>
      </c>
      <c r="Z278">
        <v>11.98</v>
      </c>
      <c r="AA278">
        <f>B285</f>
        <v>0</v>
      </c>
      <c r="AB278">
        <f t="shared" si="80"/>
        <v>0</v>
      </c>
    </row>
    <row r="279" spans="1:28" x14ac:dyDescent="0.25">
      <c r="A279" s="21" t="s">
        <v>22</v>
      </c>
      <c r="B279" s="17"/>
      <c r="G279" s="2" t="s">
        <v>23</v>
      </c>
      <c r="H279" s="3">
        <f>(((B268+B269+B272+B273+B284)*2)*0.25*0.3)+(B275*0.32*1.1)</f>
        <v>0</v>
      </c>
      <c r="I279" s="9">
        <f>H279/10</f>
        <v>0</v>
      </c>
      <c r="J279" s="9"/>
      <c r="M279" s="10"/>
      <c r="N279" s="10"/>
      <c r="O279" s="10"/>
      <c r="P279" s="23" t="s">
        <v>23</v>
      </c>
      <c r="Q279" s="11">
        <f>+I279*$M$23</f>
        <v>0</v>
      </c>
      <c r="R279" s="11">
        <f>+I279*$M$23</f>
        <v>0</v>
      </c>
      <c r="S279" s="11">
        <f>+I279*$M$23</f>
        <v>0</v>
      </c>
      <c r="T279" s="11">
        <f>+I279*$M$23</f>
        <v>0</v>
      </c>
      <c r="U279" s="11">
        <f>+I279*$M$23</f>
        <v>0</v>
      </c>
      <c r="V279" s="11">
        <f>+I279*$M$23</f>
        <v>0</v>
      </c>
      <c r="W279" s="11">
        <f>+I279*$M$23</f>
        <v>0</v>
      </c>
      <c r="X279" s="11">
        <f>+I279*$M$23</f>
        <v>0</v>
      </c>
      <c r="Y279" s="4" t="s">
        <v>22</v>
      </c>
      <c r="Z279">
        <v>16.38</v>
      </c>
      <c r="AA279">
        <f>B279</f>
        <v>0</v>
      </c>
      <c r="AB279">
        <f t="shared" ref="AB279" si="82">Z279*AA279</f>
        <v>0</v>
      </c>
    </row>
    <row r="280" spans="1:28" x14ac:dyDescent="0.25">
      <c r="B280" s="19"/>
      <c r="G280" s="2" t="s">
        <v>24</v>
      </c>
      <c r="H280" s="3">
        <f>(((B268+B269+B272+B273+B284)*2)*0.25*0.3)+(B275*0.32*1.1)</f>
        <v>0</v>
      </c>
      <c r="I280" s="9">
        <f>H280/10</f>
        <v>0</v>
      </c>
      <c r="J280" s="9"/>
      <c r="M280" s="10"/>
      <c r="N280" s="10"/>
      <c r="O280" s="10"/>
      <c r="P280" s="23" t="s">
        <v>24</v>
      </c>
      <c r="Q280" s="11">
        <f>+I280*$M$24</f>
        <v>0</v>
      </c>
      <c r="R280" s="11">
        <f>+I280*$M$24</f>
        <v>0</v>
      </c>
      <c r="S280" s="11">
        <f>+I280*$M$24</f>
        <v>0</v>
      </c>
      <c r="T280" s="11">
        <f>+I280*$M$24</f>
        <v>0</v>
      </c>
      <c r="U280" s="11">
        <f>+I280*$M$24</f>
        <v>0</v>
      </c>
      <c r="V280" s="11">
        <f>+I280*$M$24</f>
        <v>0</v>
      </c>
      <c r="W280" s="11">
        <f>+I280*$M$24</f>
        <v>0</v>
      </c>
      <c r="X280" s="11">
        <f>+I280*$M$24</f>
        <v>0</v>
      </c>
      <c r="Y280" s="4"/>
    </row>
    <row r="281" spans="1:28" x14ac:dyDescent="0.25">
      <c r="A281" s="13"/>
      <c r="B281" s="16" t="s">
        <v>25</v>
      </c>
      <c r="C281" s="1" t="s">
        <v>26</v>
      </c>
      <c r="D281" s="1"/>
      <c r="G281" s="2" t="s">
        <v>68</v>
      </c>
      <c r="H281" s="3">
        <f>B287/3</f>
        <v>0</v>
      </c>
      <c r="M281" s="10"/>
      <c r="N281" s="10"/>
      <c r="O281" s="10"/>
      <c r="P281" s="23" t="s">
        <v>570</v>
      </c>
      <c r="Q281" s="11">
        <f>$B$284*$M$29</f>
        <v>0</v>
      </c>
      <c r="R281" s="11">
        <f t="shared" ref="R281:X281" si="83">$B$284*$M$29</f>
        <v>0</v>
      </c>
      <c r="S281" s="11">
        <f t="shared" si="83"/>
        <v>0</v>
      </c>
      <c r="T281" s="11">
        <f t="shared" si="83"/>
        <v>0</v>
      </c>
      <c r="U281" s="11">
        <f t="shared" si="83"/>
        <v>0</v>
      </c>
      <c r="V281" s="11">
        <f t="shared" si="83"/>
        <v>0</v>
      </c>
      <c r="W281" s="11">
        <f t="shared" si="83"/>
        <v>0</v>
      </c>
      <c r="X281" s="11">
        <f t="shared" si="83"/>
        <v>0</v>
      </c>
      <c r="Y281" s="4"/>
    </row>
    <row r="282" spans="1:28" ht="15.75" x14ac:dyDescent="0.25">
      <c r="A282" s="21" t="s">
        <v>94</v>
      </c>
      <c r="B282" s="17"/>
      <c r="C282" s="15"/>
      <c r="G282" s="6" t="s">
        <v>27</v>
      </c>
      <c r="H282" s="3" t="s">
        <v>28</v>
      </c>
      <c r="I282" s="4" t="s">
        <v>29</v>
      </c>
      <c r="M282" s="10"/>
      <c r="N282" s="10"/>
      <c r="O282" s="10"/>
      <c r="P282" s="23"/>
      <c r="Y282" s="4" t="s">
        <v>94</v>
      </c>
      <c r="Z282">
        <v>37.44</v>
      </c>
      <c r="AA282">
        <f>B282</f>
        <v>0</v>
      </c>
      <c r="AB282">
        <f t="shared" ref="AB282:AB283" si="84">Z282*AA282</f>
        <v>0</v>
      </c>
    </row>
    <row r="283" spans="1:28" x14ac:dyDescent="0.25">
      <c r="B283" s="19"/>
      <c r="G283" s="2" t="s">
        <v>30</v>
      </c>
      <c r="H283" s="3">
        <f>(B268+B269+B272+B273)*2*2.4</f>
        <v>0</v>
      </c>
      <c r="I283" s="4">
        <f>H283/20</f>
        <v>0</v>
      </c>
      <c r="M283" s="10"/>
      <c r="N283" s="10"/>
      <c r="O283" s="10"/>
      <c r="P283" s="23"/>
      <c r="Y283" s="4"/>
      <c r="AA283" s="33">
        <f>(H279+H280)/0.2</f>
        <v>0</v>
      </c>
      <c r="AB283">
        <f t="shared" si="84"/>
        <v>0</v>
      </c>
    </row>
    <row r="284" spans="1:28" x14ac:dyDescent="0.25">
      <c r="A284" s="21" t="s">
        <v>567</v>
      </c>
      <c r="B284" s="17"/>
      <c r="M284" s="10"/>
      <c r="N284" s="10"/>
      <c r="O284" s="10"/>
      <c r="P284" s="23"/>
      <c r="Y284" s="4" t="s">
        <v>567</v>
      </c>
      <c r="AA284" s="33"/>
    </row>
    <row r="285" spans="1:28" x14ac:dyDescent="0.25">
      <c r="A285" s="21" t="s">
        <v>568</v>
      </c>
      <c r="B285" s="17"/>
      <c r="M285" s="10"/>
      <c r="N285" s="10"/>
      <c r="O285" s="10"/>
      <c r="P285" s="23"/>
      <c r="Y285" s="4" t="s">
        <v>568</v>
      </c>
      <c r="AA285" s="33"/>
    </row>
    <row r="286" spans="1:28" x14ac:dyDescent="0.25">
      <c r="B286" s="16" t="s">
        <v>69</v>
      </c>
      <c r="G286" s="2" t="s">
        <v>31</v>
      </c>
      <c r="H286" s="3">
        <f>(B268+B269+B272+B273)*2*2.4</f>
        <v>0</v>
      </c>
      <c r="I286" s="4">
        <f>H286/20</f>
        <v>0</v>
      </c>
      <c r="M286" s="10"/>
      <c r="N286" s="10"/>
      <c r="O286" s="10"/>
      <c r="P286" s="23"/>
      <c r="Y286" s="4"/>
    </row>
    <row r="287" spans="1:28" x14ac:dyDescent="0.25">
      <c r="A287" s="21" t="s">
        <v>68</v>
      </c>
      <c r="B287" s="17"/>
      <c r="G287" s="2" t="s">
        <v>32</v>
      </c>
      <c r="H287" s="3">
        <f>(B268+B269+B272+B273)*2*0.6</f>
        <v>0</v>
      </c>
      <c r="I287" s="4">
        <f>H287/10</f>
        <v>0</v>
      </c>
      <c r="M287" s="10"/>
      <c r="N287" s="10"/>
      <c r="O287" s="10"/>
      <c r="P287" s="23"/>
      <c r="Y287" s="4" t="s">
        <v>68</v>
      </c>
      <c r="AA287">
        <f>B287</f>
        <v>0</v>
      </c>
      <c r="AB287">
        <f t="shared" ref="AB287" si="85">Z287*AA287</f>
        <v>0</v>
      </c>
    </row>
    <row r="288" spans="1:28" x14ac:dyDescent="0.25">
      <c r="A288" s="22" t="s">
        <v>73</v>
      </c>
      <c r="B288" s="18"/>
      <c r="M288" s="10"/>
      <c r="N288" s="10"/>
      <c r="O288" s="10"/>
      <c r="P288" s="23"/>
      <c r="Y288" s="22" t="s">
        <v>73</v>
      </c>
    </row>
    <row r="289" spans="1:28" ht="15.75" x14ac:dyDescent="0.25">
      <c r="B289" s="20" t="s">
        <v>69</v>
      </c>
      <c r="G289" s="6" t="s">
        <v>33</v>
      </c>
      <c r="M289" s="10"/>
      <c r="N289" s="10"/>
      <c r="O289" s="10"/>
      <c r="P289" s="23"/>
      <c r="Y289" s="4"/>
    </row>
    <row r="290" spans="1:28" x14ac:dyDescent="0.25">
      <c r="A290" s="21" t="s">
        <v>70</v>
      </c>
      <c r="B290" s="17"/>
      <c r="H290" s="3" t="s">
        <v>20</v>
      </c>
      <c r="I290" s="4" t="s">
        <v>34</v>
      </c>
      <c r="M290" s="10"/>
      <c r="N290" s="10"/>
      <c r="O290" s="10"/>
      <c r="P290" s="23"/>
      <c r="Y290" s="4" t="s">
        <v>70</v>
      </c>
      <c r="Z290">
        <v>1.7</v>
      </c>
      <c r="AA290">
        <f>B290</f>
        <v>0</v>
      </c>
      <c r="AB290">
        <f t="shared" ref="AB290" si="86">Z290*AA290</f>
        <v>0</v>
      </c>
    </row>
    <row r="291" spans="1:28" x14ac:dyDescent="0.25">
      <c r="A291" s="22" t="s">
        <v>72</v>
      </c>
      <c r="B291" s="18"/>
      <c r="G291" s="2" t="s">
        <v>35</v>
      </c>
      <c r="H291" s="3">
        <f>(B268+B269+B272+B273)*0.22222</f>
        <v>0</v>
      </c>
      <c r="I291" s="9">
        <f>(H291/18)*1.1</f>
        <v>0</v>
      </c>
      <c r="J291" s="9"/>
      <c r="M291" s="10"/>
      <c r="N291" s="10"/>
      <c r="O291" s="10"/>
      <c r="P291" s="23"/>
    </row>
    <row r="292" spans="1:28" x14ac:dyDescent="0.25">
      <c r="B292" s="18"/>
      <c r="G292" s="2" t="s">
        <v>36</v>
      </c>
      <c r="H292" s="3">
        <f>(B268+B269+B272+B273)*0.25</f>
        <v>0</v>
      </c>
      <c r="I292" s="9">
        <f>(H292/18)*1.1</f>
        <v>0</v>
      </c>
      <c r="J292" s="9"/>
      <c r="AB292">
        <f>SUM(AB268:AB290)</f>
        <v>0</v>
      </c>
    </row>
    <row r="293" spans="1:28" x14ac:dyDescent="0.25">
      <c r="A293" s="21" t="s">
        <v>82</v>
      </c>
      <c r="B293" s="17"/>
      <c r="C293" s="25" t="s">
        <v>83</v>
      </c>
    </row>
    <row r="294" spans="1:28" x14ac:dyDescent="0.25">
      <c r="A294" s="21" t="s">
        <v>84</v>
      </c>
      <c r="B294" s="17"/>
      <c r="C294" s="25" t="s">
        <v>98</v>
      </c>
    </row>
    <row r="295" spans="1:28" x14ac:dyDescent="0.25">
      <c r="A295" s="27" t="s">
        <v>96</v>
      </c>
      <c r="B295" s="24"/>
      <c r="C295" s="26" t="s">
        <v>97</v>
      </c>
    </row>
    <row r="297" spans="1:28" x14ac:dyDescent="0.25">
      <c r="P297" s="12"/>
      <c r="Q297" s="14">
        <f>SUM(Q268:Q293)</f>
        <v>0</v>
      </c>
      <c r="R297" s="14">
        <f t="shared" ref="R297" si="87">SUM(R268:R293)</f>
        <v>0</v>
      </c>
      <c r="S297" s="14">
        <f t="shared" ref="S297" si="88">SUM(S268:S293)</f>
        <v>0</v>
      </c>
      <c r="T297" s="14">
        <f t="shared" ref="T297" si="89">SUM(T268:T293)</f>
        <v>0</v>
      </c>
      <c r="U297" s="14">
        <f t="shared" ref="U297" si="90">SUM(U268:U293)</f>
        <v>0</v>
      </c>
      <c r="V297" s="14">
        <f t="shared" ref="V297" si="91">SUM(V268:V293)</f>
        <v>0</v>
      </c>
      <c r="W297" s="14">
        <f t="shared" ref="W297" si="92">SUM(W268:W293)</f>
        <v>0</v>
      </c>
      <c r="X297" s="14">
        <f t="shared" ref="X297" si="93">SUM(X268:X293)</f>
        <v>0</v>
      </c>
    </row>
    <row r="298" spans="1:28" x14ac:dyDescent="0.25">
      <c r="A298" s="13" t="s">
        <v>66</v>
      </c>
      <c r="B298" s="13" t="s">
        <v>56</v>
      </c>
      <c r="C298" s="14">
        <f>SUMIF(Q299:Q306,B298,R299:R306)/((100-B299)/100)</f>
        <v>0</v>
      </c>
      <c r="D298" s="14"/>
    </row>
    <row r="299" spans="1:28" x14ac:dyDescent="0.25">
      <c r="A299" s="13" t="s">
        <v>169</v>
      </c>
      <c r="B299" s="13"/>
      <c r="C299" s="1"/>
      <c r="D299" s="1"/>
      <c r="Q299" s="13" t="s">
        <v>56</v>
      </c>
      <c r="R299" s="11">
        <f>Q297/((100-B303)/100)</f>
        <v>0</v>
      </c>
    </row>
    <row r="300" spans="1:28" x14ac:dyDescent="0.25">
      <c r="Q300" s="13" t="s">
        <v>55</v>
      </c>
      <c r="R300" s="11">
        <f>R297/((100-B303)/100)</f>
        <v>0</v>
      </c>
    </row>
    <row r="301" spans="1:28" x14ac:dyDescent="0.25">
      <c r="A301" s="13" t="s">
        <v>76</v>
      </c>
      <c r="C301" s="37">
        <f>AB292*((100+B302)/100)</f>
        <v>0</v>
      </c>
      <c r="Q301" s="13" t="s">
        <v>57</v>
      </c>
      <c r="R301" s="11">
        <f>S297/((100-B303)/100)</f>
        <v>0</v>
      </c>
    </row>
    <row r="302" spans="1:28" x14ac:dyDescent="0.25">
      <c r="A302" s="13" t="s">
        <v>154</v>
      </c>
      <c r="B302" s="4">
        <v>0</v>
      </c>
      <c r="Q302" s="13" t="s">
        <v>58</v>
      </c>
      <c r="R302" s="11">
        <f>T297/((100-B303)/100)</f>
        <v>0</v>
      </c>
    </row>
    <row r="303" spans="1:28" x14ac:dyDescent="0.25">
      <c r="Q303" s="13" t="s">
        <v>59</v>
      </c>
      <c r="R303" s="11">
        <f>U297/((100-B303)/100)</f>
        <v>0</v>
      </c>
    </row>
    <row r="304" spans="1:28" x14ac:dyDescent="0.25">
      <c r="Q304" s="13" t="s">
        <v>61</v>
      </c>
      <c r="R304" s="11">
        <f>V297/((100-B303)/100)</f>
        <v>0</v>
      </c>
    </row>
    <row r="305" spans="1:28" x14ac:dyDescent="0.25">
      <c r="Q305" s="13" t="s">
        <v>62</v>
      </c>
      <c r="R305" s="11">
        <f>W297/((100-B303)/100)</f>
        <v>0</v>
      </c>
    </row>
    <row r="306" spans="1:28" x14ac:dyDescent="0.25">
      <c r="Q306" s="13" t="s">
        <v>63</v>
      </c>
      <c r="R306" s="11">
        <f>X297/((100-B303)/100)</f>
        <v>0</v>
      </c>
    </row>
    <row r="307" spans="1:28" x14ac:dyDescent="0.25">
      <c r="A307" s="13" t="s">
        <v>113</v>
      </c>
      <c r="B307" s="13" t="s">
        <v>79</v>
      </c>
    </row>
    <row r="308" spans="1:28" x14ac:dyDescent="0.25">
      <c r="A308" s="13" t="s">
        <v>103</v>
      </c>
    </row>
    <row r="309" spans="1:28" ht="15.75" x14ac:dyDescent="0.25">
      <c r="G309" s="5" t="s">
        <v>0</v>
      </c>
    </row>
    <row r="310" spans="1:28" ht="15.75" x14ac:dyDescent="0.25">
      <c r="A310" s="13" t="s">
        <v>1</v>
      </c>
      <c r="B310" s="16" t="s">
        <v>2</v>
      </c>
      <c r="G310" s="6"/>
      <c r="H310" s="7" t="s">
        <v>3</v>
      </c>
      <c r="K310" s="8"/>
      <c r="L310" s="8"/>
      <c r="M310" s="8"/>
      <c r="N310" s="8"/>
      <c r="O310" s="8"/>
      <c r="P310" s="6"/>
      <c r="Q310" s="1" t="s">
        <v>56</v>
      </c>
      <c r="R310" s="1" t="s">
        <v>55</v>
      </c>
      <c r="S310" s="12" t="s">
        <v>57</v>
      </c>
      <c r="T310" s="13" t="s">
        <v>58</v>
      </c>
      <c r="U310" s="13" t="s">
        <v>59</v>
      </c>
      <c r="V310" s="13" t="s">
        <v>61</v>
      </c>
      <c r="W310" s="13" t="s">
        <v>62</v>
      </c>
      <c r="X310" s="13" t="s">
        <v>63</v>
      </c>
      <c r="Z310" s="13" t="s">
        <v>554</v>
      </c>
      <c r="AA310" s="13" t="s">
        <v>198</v>
      </c>
      <c r="AB310" s="13" t="s">
        <v>209</v>
      </c>
    </row>
    <row r="311" spans="1:28" x14ac:dyDescent="0.25">
      <c r="A311" s="17" t="s">
        <v>4</v>
      </c>
      <c r="B311" s="17"/>
      <c r="G311" s="2" t="s">
        <v>5</v>
      </c>
      <c r="H311" s="3">
        <f>(((B311*2)+(B312*4)+(B315*2)+(B316*4))+((B325*C325)*2)+(B318)+(B327))*1.1</f>
        <v>0</v>
      </c>
      <c r="M311" s="10"/>
      <c r="N311" s="10"/>
      <c r="O311" s="10"/>
      <c r="P311" s="23" t="s">
        <v>86</v>
      </c>
      <c r="Q311" s="11">
        <f>H311*$M$7</f>
        <v>0</v>
      </c>
      <c r="R311" s="11">
        <f>H311*$M$7</f>
        <v>0</v>
      </c>
      <c r="S311" s="11">
        <f>H311*$M$7</f>
        <v>0</v>
      </c>
      <c r="T311" s="11">
        <f>H311*$M$7</f>
        <v>0</v>
      </c>
      <c r="U311" s="11">
        <f>H311*($M$7/2)+(H311*$M$25/2)</f>
        <v>0</v>
      </c>
      <c r="V311" s="11">
        <f>H311*($M$7/2)+(H311*$M$25/2)</f>
        <v>0</v>
      </c>
      <c r="W311" s="11">
        <f>H311*($M$7/2)+(H311*$M$25/2)</f>
        <v>0</v>
      </c>
      <c r="X311" s="11">
        <f>H311*($M$7/2)+(H311*$M$25/2)</f>
        <v>0</v>
      </c>
      <c r="Y311" s="4" t="s">
        <v>4</v>
      </c>
      <c r="Z311">
        <v>27.9</v>
      </c>
      <c r="AA311">
        <f>B311</f>
        <v>0</v>
      </c>
      <c r="AB311">
        <f>Z311*AA311</f>
        <v>0</v>
      </c>
    </row>
    <row r="312" spans="1:28" x14ac:dyDescent="0.25">
      <c r="A312" s="17" t="s">
        <v>6</v>
      </c>
      <c r="B312" s="17"/>
      <c r="G312" s="2" t="s">
        <v>7</v>
      </c>
      <c r="H312" s="3">
        <f>(((B311+B312+(B315*2)+(B316*2))*1.667)+(B325*1.667*C325))*1.1</f>
        <v>0</v>
      </c>
      <c r="I312" s="4" t="s">
        <v>8</v>
      </c>
      <c r="M312" s="10"/>
      <c r="N312" s="10"/>
      <c r="O312" s="10"/>
      <c r="P312" s="23" t="s">
        <v>87</v>
      </c>
      <c r="Q312" s="11">
        <f>H312*$M$10</f>
        <v>0</v>
      </c>
      <c r="R312" s="11">
        <f>H312*$M$13</f>
        <v>0</v>
      </c>
      <c r="S312" s="11">
        <f>H312*$M$19</f>
        <v>0</v>
      </c>
      <c r="T312" s="11">
        <f>H312*$M$21</f>
        <v>0</v>
      </c>
      <c r="U312" s="11">
        <f>H312*$M$10</f>
        <v>0</v>
      </c>
      <c r="V312" s="11">
        <f>H312*$M$13</f>
        <v>0</v>
      </c>
      <c r="W312" s="11">
        <f>H312*$M$19</f>
        <v>0</v>
      </c>
      <c r="X312" s="11">
        <f>H312*$M$21</f>
        <v>0</v>
      </c>
      <c r="Y312" s="4" t="s">
        <v>6</v>
      </c>
      <c r="Z312">
        <v>37.44</v>
      </c>
      <c r="AA312">
        <f>B312</f>
        <v>0</v>
      </c>
      <c r="AB312">
        <f>Z312*AA312</f>
        <v>0</v>
      </c>
    </row>
    <row r="313" spans="1:28" x14ac:dyDescent="0.25">
      <c r="B313" s="18"/>
      <c r="G313" s="2" t="s">
        <v>9</v>
      </c>
      <c r="H313" s="3">
        <f>(((B311+B312+B315+B316)*0.667)+(B325*2))*1.1</f>
        <v>0</v>
      </c>
      <c r="I313" s="9">
        <f>((B311+B312+B315+B316)*1.666667)*1.1</f>
        <v>0</v>
      </c>
      <c r="J313" s="9"/>
      <c r="M313" s="10"/>
      <c r="N313" s="10"/>
      <c r="O313" s="10"/>
      <c r="P313" s="23" t="s">
        <v>88</v>
      </c>
      <c r="Q313" s="11">
        <f>H313*$M$11</f>
        <v>0</v>
      </c>
      <c r="R313" s="11">
        <f>H313*$M$14</f>
        <v>0</v>
      </c>
      <c r="S313" s="11">
        <f>H313*$M$20</f>
        <v>0</v>
      </c>
      <c r="T313" s="11">
        <f>H313*$M$22</f>
        <v>0</v>
      </c>
      <c r="U313" s="11">
        <f>H313*$M$11</f>
        <v>0</v>
      </c>
      <c r="V313" s="11">
        <f>H313*$M$14</f>
        <v>0</v>
      </c>
      <c r="W313" s="11">
        <f>H313*$M$20</f>
        <v>0</v>
      </c>
      <c r="X313" s="11">
        <f>H313*$M$22</f>
        <v>0</v>
      </c>
      <c r="Y313" s="4"/>
    </row>
    <row r="314" spans="1:28" x14ac:dyDescent="0.25">
      <c r="A314" s="13" t="s">
        <v>10</v>
      </c>
      <c r="B314" s="18"/>
      <c r="G314" s="2" t="s">
        <v>11</v>
      </c>
      <c r="H314" s="3">
        <f>(B311+B312+B315+B316)*1.1</f>
        <v>0</v>
      </c>
      <c r="M314" s="10"/>
      <c r="N314" s="10"/>
      <c r="O314" s="10"/>
      <c r="P314" s="23" t="s">
        <v>89</v>
      </c>
      <c r="Q314" s="11">
        <f>+H314*$M$16</f>
        <v>0</v>
      </c>
      <c r="R314" s="11">
        <f>+H314*$M$16</f>
        <v>0</v>
      </c>
      <c r="S314" s="11">
        <f>+H314*$M$16</f>
        <v>0</v>
      </c>
      <c r="T314" s="11">
        <f>+H314*$M$16</f>
        <v>0</v>
      </c>
      <c r="U314" s="11">
        <f>+H314*$M$16</f>
        <v>0</v>
      </c>
      <c r="V314" s="11">
        <f>+H314*$M$16</f>
        <v>0</v>
      </c>
      <c r="W314" s="11">
        <f>+H314*$M$16</f>
        <v>0</v>
      </c>
      <c r="X314" s="11">
        <f>+H314*$M$16</f>
        <v>0</v>
      </c>
      <c r="Y314" s="4" t="s">
        <v>10</v>
      </c>
    </row>
    <row r="315" spans="1:28" x14ac:dyDescent="0.25">
      <c r="A315" s="17" t="s">
        <v>12</v>
      </c>
      <c r="B315" s="17"/>
      <c r="G315" s="2" t="s">
        <v>13</v>
      </c>
      <c r="H315" s="3">
        <f>(((B311+(B312*2)+B315+(B316*2))*30)+(B325*C325*30*2)+(B327*30))*1.1</f>
        <v>0</v>
      </c>
      <c r="I315" s="105">
        <f>H315/1000</f>
        <v>0</v>
      </c>
      <c r="J315" s="106">
        <f>ROUNDUP(I315,0)</f>
        <v>0</v>
      </c>
      <c r="M315" s="10"/>
      <c r="N315" s="10"/>
      <c r="O315" s="10"/>
      <c r="P315" s="23" t="s">
        <v>90</v>
      </c>
      <c r="Q315" s="11">
        <f>$J$315*$M$30</f>
        <v>0</v>
      </c>
      <c r="R315" s="11">
        <f t="shared" ref="R315:X315" si="94">$J$315*$M$30</f>
        <v>0</v>
      </c>
      <c r="S315" s="11">
        <f t="shared" si="94"/>
        <v>0</v>
      </c>
      <c r="T315" s="11">
        <f t="shared" si="94"/>
        <v>0</v>
      </c>
      <c r="U315" s="11">
        <f t="shared" si="94"/>
        <v>0</v>
      </c>
      <c r="V315" s="11">
        <f t="shared" si="94"/>
        <v>0</v>
      </c>
      <c r="W315" s="11">
        <f t="shared" si="94"/>
        <v>0</v>
      </c>
      <c r="X315" s="11">
        <f t="shared" si="94"/>
        <v>0</v>
      </c>
      <c r="Y315" s="4" t="s">
        <v>12</v>
      </c>
      <c r="Z315">
        <v>30.96</v>
      </c>
      <c r="AA315">
        <f>B315</f>
        <v>0</v>
      </c>
      <c r="AB315">
        <f t="shared" ref="AB315:AB316" si="95">Z315*AA315</f>
        <v>0</v>
      </c>
    </row>
    <row r="316" spans="1:28" x14ac:dyDescent="0.25">
      <c r="A316" s="17" t="s">
        <v>14</v>
      </c>
      <c r="B316" s="17"/>
      <c r="G316" s="2" t="s">
        <v>15</v>
      </c>
      <c r="H316" s="3">
        <f>(H313*0.4)*1.1</f>
        <v>0</v>
      </c>
      <c r="M316" s="10"/>
      <c r="N316" s="10"/>
      <c r="O316" s="10"/>
      <c r="P316" s="23" t="s">
        <v>92</v>
      </c>
      <c r="Q316" s="11">
        <f>B336*$M$26</f>
        <v>0</v>
      </c>
      <c r="R316" s="11">
        <f>B336*$M$26</f>
        <v>0</v>
      </c>
      <c r="S316" s="11">
        <f>B336*$M$26</f>
        <v>0</v>
      </c>
      <c r="T316" s="11">
        <f>B336*$M$26</f>
        <v>0</v>
      </c>
      <c r="U316" s="11">
        <f>B336*$M$26</f>
        <v>0</v>
      </c>
      <c r="V316" s="11">
        <f>B336*$M$26</f>
        <v>0</v>
      </c>
      <c r="W316" s="11">
        <f>B336*$M$26</f>
        <v>0</v>
      </c>
      <c r="X316" s="11">
        <f>B336*$M$26</f>
        <v>0</v>
      </c>
      <c r="Y316" s="4" t="s">
        <v>14</v>
      </c>
      <c r="Z316">
        <v>40.32</v>
      </c>
      <c r="AA316">
        <f>B316</f>
        <v>0</v>
      </c>
      <c r="AB316">
        <f t="shared" si="95"/>
        <v>0</v>
      </c>
    </row>
    <row r="317" spans="1:28" x14ac:dyDescent="0.25">
      <c r="B317" s="18"/>
      <c r="G317" s="2" t="s">
        <v>71</v>
      </c>
      <c r="H317" s="3">
        <f>(8*B322+B333)*1.1</f>
        <v>0</v>
      </c>
      <c r="M317" s="10"/>
      <c r="N317" s="10"/>
      <c r="O317" s="10"/>
      <c r="P317" s="23" t="s">
        <v>85</v>
      </c>
      <c r="Q317" s="11">
        <f>+H317*$M$12</f>
        <v>0</v>
      </c>
      <c r="R317" s="11">
        <f>+H317*$M$15</f>
        <v>0</v>
      </c>
      <c r="S317" s="11">
        <f>+H317*$M$12</f>
        <v>0</v>
      </c>
      <c r="T317" s="11">
        <f>+H317*$M$12</f>
        <v>0</v>
      </c>
      <c r="U317" s="11">
        <f>+H317*$M$12</f>
        <v>0</v>
      </c>
      <c r="V317" s="11">
        <f>+H317*$M$15</f>
        <v>0</v>
      </c>
      <c r="W317" s="11">
        <f>+H317*$M$12</f>
        <v>0</v>
      </c>
      <c r="X317" s="11">
        <f>+H317*$M$12</f>
        <v>0</v>
      </c>
      <c r="Y317" s="4"/>
    </row>
    <row r="318" spans="1:28" x14ac:dyDescent="0.25">
      <c r="A318" s="21" t="s">
        <v>77</v>
      </c>
      <c r="B318" s="17"/>
      <c r="G318" s="2" t="s">
        <v>16</v>
      </c>
      <c r="H318" s="3">
        <f>(B322*6)</f>
        <v>0</v>
      </c>
      <c r="M318" s="10"/>
      <c r="N318" s="10"/>
      <c r="O318" s="10"/>
      <c r="P318" s="23" t="s">
        <v>84</v>
      </c>
      <c r="Q318" s="11">
        <f>B337*$M$27</f>
        <v>0</v>
      </c>
      <c r="R318" s="11">
        <f>B337*$M$27</f>
        <v>0</v>
      </c>
      <c r="S318" s="11">
        <f>B337*$M$27</f>
        <v>0</v>
      </c>
      <c r="T318" s="11">
        <f>B337*$M$27</f>
        <v>0</v>
      </c>
      <c r="U318" s="11">
        <f>B337*$M$27</f>
        <v>0</v>
      </c>
      <c r="V318" s="11">
        <f>B337*$M$27</f>
        <v>0</v>
      </c>
      <c r="W318" s="11">
        <f>B337*$M$27</f>
        <v>0</v>
      </c>
      <c r="X318" s="11">
        <f>B337*$M$27</f>
        <v>0</v>
      </c>
      <c r="Y318" s="4" t="s">
        <v>77</v>
      </c>
      <c r="Z318">
        <v>16.2</v>
      </c>
      <c r="AA318">
        <f>B318</f>
        <v>0</v>
      </c>
      <c r="AB318">
        <f t="shared" ref="AB318:AB321" si="96">Z318*AA318</f>
        <v>0</v>
      </c>
    </row>
    <row r="319" spans="1:28" x14ac:dyDescent="0.25">
      <c r="A319" s="21" t="s">
        <v>78</v>
      </c>
      <c r="B319" s="17"/>
      <c r="G319" s="2" t="s">
        <v>17</v>
      </c>
      <c r="H319" s="3">
        <f>H313/0.3</f>
        <v>0</v>
      </c>
      <c r="M319" s="10"/>
      <c r="N319" s="10"/>
      <c r="O319" s="10"/>
      <c r="P319" s="23" t="s">
        <v>68</v>
      </c>
      <c r="Q319" s="11">
        <f>H324*$M$28</f>
        <v>0</v>
      </c>
      <c r="R319" s="11">
        <f>H324*$M$28</f>
        <v>0</v>
      </c>
      <c r="S319" s="11">
        <f>H324*$M$28</f>
        <v>0</v>
      </c>
      <c r="T319" s="11">
        <f>H324*$M$28</f>
        <v>0</v>
      </c>
      <c r="U319" s="11">
        <f>H324*$M$28</f>
        <v>0</v>
      </c>
      <c r="V319" s="11">
        <f>H324*$M$28</f>
        <v>0</v>
      </c>
      <c r="W319" s="11">
        <f>H324*$M$28</f>
        <v>0</v>
      </c>
      <c r="X319" s="11">
        <f>H324*$M$28</f>
        <v>0</v>
      </c>
      <c r="Y319" s="4" t="s">
        <v>78</v>
      </c>
      <c r="Z319">
        <v>18</v>
      </c>
      <c r="AA319">
        <f>B319</f>
        <v>0</v>
      </c>
      <c r="AB319">
        <f t="shared" si="96"/>
        <v>0</v>
      </c>
    </row>
    <row r="320" spans="1:28" x14ac:dyDescent="0.25">
      <c r="B320" s="19"/>
      <c r="G320" s="2" t="s">
        <v>570</v>
      </c>
      <c r="H320" s="3">
        <f>B327*1.1</f>
        <v>0</v>
      </c>
      <c r="M320" s="10"/>
      <c r="N320" s="10"/>
      <c r="O320" s="10"/>
      <c r="P320" s="23" t="s">
        <v>91</v>
      </c>
      <c r="Q320" s="11">
        <f>B319*(18*0.014)*$M$25*1.1</f>
        <v>0</v>
      </c>
      <c r="R320" s="11">
        <f>B319*$M$25*1.1</f>
        <v>0</v>
      </c>
      <c r="S320" s="11">
        <f>B319*$M$25*1.1</f>
        <v>0</v>
      </c>
      <c r="T320" s="11">
        <f>B319*$M$25*1.1</f>
        <v>0</v>
      </c>
      <c r="U320" s="11">
        <f>B319*$M$25*1.1</f>
        <v>0</v>
      </c>
      <c r="V320" s="11">
        <f>B319*$M$25*1.1</f>
        <v>0</v>
      </c>
      <c r="W320" s="11">
        <f>B319*$M$25*1.1</f>
        <v>0</v>
      </c>
      <c r="X320" s="11">
        <f>B319*$M$25*1.1</f>
        <v>0</v>
      </c>
      <c r="Y320" s="4" t="s">
        <v>567</v>
      </c>
      <c r="Z320">
        <v>18.5</v>
      </c>
      <c r="AA320">
        <f>B327</f>
        <v>0</v>
      </c>
      <c r="AB320">
        <f t="shared" si="96"/>
        <v>0</v>
      </c>
    </row>
    <row r="321" spans="1:28" ht="15.75" x14ac:dyDescent="0.25">
      <c r="B321" s="16" t="s">
        <v>18</v>
      </c>
      <c r="G321" s="6" t="s">
        <v>19</v>
      </c>
      <c r="H321" s="3" t="s">
        <v>20</v>
      </c>
      <c r="I321" s="4" t="s">
        <v>21</v>
      </c>
      <c r="M321" s="10"/>
      <c r="N321" s="10"/>
      <c r="O321" s="10"/>
      <c r="P321" s="23" t="s">
        <v>96</v>
      </c>
      <c r="Q321" s="11">
        <f>$B$338</f>
        <v>0</v>
      </c>
      <c r="R321" s="11">
        <f t="shared" ref="R321:X321" si="97">$B$338</f>
        <v>0</v>
      </c>
      <c r="S321" s="11">
        <f t="shared" si="97"/>
        <v>0</v>
      </c>
      <c r="T321" s="11">
        <f t="shared" si="97"/>
        <v>0</v>
      </c>
      <c r="U321" s="11">
        <f t="shared" si="97"/>
        <v>0</v>
      </c>
      <c r="V321" s="11">
        <f t="shared" si="97"/>
        <v>0</v>
      </c>
      <c r="W321" s="11">
        <f t="shared" si="97"/>
        <v>0</v>
      </c>
      <c r="X321" s="11">
        <f t="shared" si="97"/>
        <v>0</v>
      </c>
      <c r="Y321" s="4" t="s">
        <v>568</v>
      </c>
      <c r="Z321">
        <v>11.98</v>
      </c>
      <c r="AA321">
        <f>B328</f>
        <v>0</v>
      </c>
      <c r="AB321">
        <f t="shared" si="96"/>
        <v>0</v>
      </c>
    </row>
    <row r="322" spans="1:28" x14ac:dyDescent="0.25">
      <c r="A322" s="21" t="s">
        <v>22</v>
      </c>
      <c r="B322" s="17"/>
      <c r="G322" s="2" t="s">
        <v>23</v>
      </c>
      <c r="H322" s="3">
        <f>(((B311+B312+B315+B316+B327)*2)*0.25*0.3)+(B318*0.32*1.1)</f>
        <v>0</v>
      </c>
      <c r="I322" s="9">
        <f>H322/10</f>
        <v>0</v>
      </c>
      <c r="J322" s="9"/>
      <c r="M322" s="10"/>
      <c r="N322" s="10"/>
      <c r="O322" s="10"/>
      <c r="P322" s="23" t="s">
        <v>23</v>
      </c>
      <c r="Q322" s="11">
        <f>+I322*$M$23</f>
        <v>0</v>
      </c>
      <c r="R322" s="11">
        <f>+I322*$M$23</f>
        <v>0</v>
      </c>
      <c r="S322" s="11">
        <f>+I322*$M$23</f>
        <v>0</v>
      </c>
      <c r="T322" s="11">
        <f>+I322*$M$23</f>
        <v>0</v>
      </c>
      <c r="U322" s="11">
        <f>+I322*$M$23</f>
        <v>0</v>
      </c>
      <c r="V322" s="11">
        <f>+I322*$M$23</f>
        <v>0</v>
      </c>
      <c r="W322" s="11">
        <f>+I322*$M$23</f>
        <v>0</v>
      </c>
      <c r="X322" s="11">
        <f>+I322*$M$23</f>
        <v>0</v>
      </c>
      <c r="Y322" s="4" t="s">
        <v>22</v>
      </c>
      <c r="Z322">
        <v>16.38</v>
      </c>
      <c r="AA322">
        <f>B322</f>
        <v>0</v>
      </c>
      <c r="AB322">
        <f t="shared" ref="AB322" si="98">Z322*AA322</f>
        <v>0</v>
      </c>
    </row>
    <row r="323" spans="1:28" x14ac:dyDescent="0.25">
      <c r="B323" s="19"/>
      <c r="G323" s="2" t="s">
        <v>24</v>
      </c>
      <c r="H323" s="3">
        <f>(((B311+B312+B315+B316+B327)*2)*0.25*0.3)+(B318*0.32*1.1)</f>
        <v>0</v>
      </c>
      <c r="I323" s="9">
        <f>H323/10</f>
        <v>0</v>
      </c>
      <c r="J323" s="9"/>
      <c r="M323" s="10"/>
      <c r="N323" s="10"/>
      <c r="O323" s="10"/>
      <c r="P323" s="23" t="s">
        <v>24</v>
      </c>
      <c r="Q323" s="11">
        <f>+I323*$M$24</f>
        <v>0</v>
      </c>
      <c r="R323" s="11">
        <f>+I323*$M$24</f>
        <v>0</v>
      </c>
      <c r="S323" s="11">
        <f>+I323*$M$24</f>
        <v>0</v>
      </c>
      <c r="T323" s="11">
        <f>+I323*$M$24</f>
        <v>0</v>
      </c>
      <c r="U323" s="11">
        <f>+I323*$M$24</f>
        <v>0</v>
      </c>
      <c r="V323" s="11">
        <f>+I323*$M$24</f>
        <v>0</v>
      </c>
      <c r="W323" s="11">
        <f>+I323*$M$24</f>
        <v>0</v>
      </c>
      <c r="X323" s="11">
        <f>+I323*$M$24</f>
        <v>0</v>
      </c>
      <c r="Y323" s="4"/>
    </row>
    <row r="324" spans="1:28" x14ac:dyDescent="0.25">
      <c r="A324" s="13"/>
      <c r="B324" s="16" t="s">
        <v>25</v>
      </c>
      <c r="C324" s="1" t="s">
        <v>26</v>
      </c>
      <c r="D324" s="1"/>
      <c r="G324" s="2" t="s">
        <v>68</v>
      </c>
      <c r="H324" s="3">
        <f>B330/3</f>
        <v>0</v>
      </c>
      <c r="M324" s="10"/>
      <c r="N324" s="10"/>
      <c r="O324" s="10"/>
      <c r="P324" s="23" t="s">
        <v>570</v>
      </c>
      <c r="Q324" s="11">
        <f>$B$327*$M$29</f>
        <v>0</v>
      </c>
      <c r="R324" s="11">
        <f t="shared" ref="R324:X324" si="99">$B$327*$M$29</f>
        <v>0</v>
      </c>
      <c r="S324" s="11">
        <f t="shared" si="99"/>
        <v>0</v>
      </c>
      <c r="T324" s="11">
        <f t="shared" si="99"/>
        <v>0</v>
      </c>
      <c r="U324" s="11">
        <f t="shared" si="99"/>
        <v>0</v>
      </c>
      <c r="V324" s="11">
        <f t="shared" si="99"/>
        <v>0</v>
      </c>
      <c r="W324" s="11">
        <f t="shared" si="99"/>
        <v>0</v>
      </c>
      <c r="X324" s="11">
        <f t="shared" si="99"/>
        <v>0</v>
      </c>
      <c r="Y324" s="4"/>
    </row>
    <row r="325" spans="1:28" ht="15.75" x14ac:dyDescent="0.25">
      <c r="A325" s="21" t="s">
        <v>94</v>
      </c>
      <c r="B325" s="17"/>
      <c r="C325" s="15"/>
      <c r="G325" s="6" t="s">
        <v>27</v>
      </c>
      <c r="H325" s="3" t="s">
        <v>28</v>
      </c>
      <c r="I325" s="4" t="s">
        <v>29</v>
      </c>
      <c r="M325" s="10"/>
      <c r="N325" s="10"/>
      <c r="O325" s="10"/>
      <c r="P325" s="23"/>
      <c r="Y325" s="4" t="s">
        <v>94</v>
      </c>
      <c r="Z325">
        <v>37.44</v>
      </c>
      <c r="AA325">
        <f>B325</f>
        <v>0</v>
      </c>
      <c r="AB325">
        <f t="shared" ref="AB325:AB326" si="100">Z325*AA325</f>
        <v>0</v>
      </c>
    </row>
    <row r="326" spans="1:28" x14ac:dyDescent="0.25">
      <c r="B326" s="19"/>
      <c r="G326" s="2" t="s">
        <v>30</v>
      </c>
      <c r="H326" s="3">
        <f>(B311+B312+B315+B316)*2*2.4</f>
        <v>0</v>
      </c>
      <c r="I326" s="4">
        <f>H326/20</f>
        <v>0</v>
      </c>
      <c r="M326" s="10"/>
      <c r="N326" s="10"/>
      <c r="O326" s="10"/>
      <c r="P326" s="23"/>
      <c r="Y326" s="4"/>
      <c r="AA326" s="33">
        <f>(H322+H323)/0.2</f>
        <v>0</v>
      </c>
      <c r="AB326">
        <f t="shared" si="100"/>
        <v>0</v>
      </c>
    </row>
    <row r="327" spans="1:28" x14ac:dyDescent="0.25">
      <c r="A327" s="21" t="s">
        <v>567</v>
      </c>
      <c r="B327" s="17"/>
      <c r="M327" s="10"/>
      <c r="N327" s="10"/>
      <c r="O327" s="10"/>
      <c r="P327" s="23"/>
      <c r="Y327" s="4" t="s">
        <v>567</v>
      </c>
      <c r="AA327" s="33"/>
    </row>
    <row r="328" spans="1:28" x14ac:dyDescent="0.25">
      <c r="A328" s="21" t="s">
        <v>568</v>
      </c>
      <c r="B328" s="17"/>
      <c r="M328" s="10"/>
      <c r="N328" s="10"/>
      <c r="O328" s="10"/>
      <c r="P328" s="23"/>
      <c r="Y328" s="4" t="s">
        <v>568</v>
      </c>
      <c r="AA328" s="33"/>
    </row>
    <row r="329" spans="1:28" x14ac:dyDescent="0.25">
      <c r="B329" s="16" t="s">
        <v>69</v>
      </c>
      <c r="G329" s="2" t="s">
        <v>31</v>
      </c>
      <c r="H329" s="3">
        <f>(B311+B312+B315+B316)*2*2.4</f>
        <v>0</v>
      </c>
      <c r="I329" s="4">
        <f>H329/20</f>
        <v>0</v>
      </c>
      <c r="M329" s="10"/>
      <c r="N329" s="10"/>
      <c r="O329" s="10"/>
      <c r="P329" s="23"/>
      <c r="Y329" s="4"/>
    </row>
    <row r="330" spans="1:28" x14ac:dyDescent="0.25">
      <c r="A330" s="21" t="s">
        <v>68</v>
      </c>
      <c r="B330" s="17"/>
      <c r="G330" s="2" t="s">
        <v>32</v>
      </c>
      <c r="H330" s="3">
        <f>(B311+B312+B315+B316)*2*0.6</f>
        <v>0</v>
      </c>
      <c r="I330" s="4">
        <f>H330/10</f>
        <v>0</v>
      </c>
      <c r="M330" s="10"/>
      <c r="N330" s="10"/>
      <c r="O330" s="10"/>
      <c r="P330" s="23"/>
      <c r="Y330" s="4" t="s">
        <v>68</v>
      </c>
      <c r="AA330">
        <f>B330</f>
        <v>0</v>
      </c>
      <c r="AB330">
        <f t="shared" ref="AB330" si="101">Z330*AA330</f>
        <v>0</v>
      </c>
    </row>
    <row r="331" spans="1:28" x14ac:dyDescent="0.25">
      <c r="A331" s="22" t="s">
        <v>73</v>
      </c>
      <c r="B331" s="18"/>
      <c r="M331" s="10"/>
      <c r="N331" s="10"/>
      <c r="O331" s="10"/>
      <c r="P331" s="23"/>
      <c r="Y331" s="22" t="s">
        <v>73</v>
      </c>
    </row>
    <row r="332" spans="1:28" ht="15.75" x14ac:dyDescent="0.25">
      <c r="B332" s="20" t="s">
        <v>69</v>
      </c>
      <c r="G332" s="6" t="s">
        <v>33</v>
      </c>
      <c r="M332" s="10"/>
      <c r="N332" s="10"/>
      <c r="O332" s="10"/>
      <c r="P332" s="23"/>
      <c r="Y332" s="4"/>
    </row>
    <row r="333" spans="1:28" x14ac:dyDescent="0.25">
      <c r="A333" s="21" t="s">
        <v>70</v>
      </c>
      <c r="B333" s="17"/>
      <c r="H333" s="3" t="s">
        <v>20</v>
      </c>
      <c r="I333" s="4" t="s">
        <v>34</v>
      </c>
      <c r="M333" s="10"/>
      <c r="N333" s="10"/>
      <c r="O333" s="10"/>
      <c r="P333" s="23"/>
      <c r="Y333" s="4" t="s">
        <v>70</v>
      </c>
      <c r="Z333">
        <v>1.7</v>
      </c>
      <c r="AA333">
        <f>B333</f>
        <v>0</v>
      </c>
      <c r="AB333">
        <f t="shared" ref="AB333" si="102">Z333*AA333</f>
        <v>0</v>
      </c>
    </row>
    <row r="334" spans="1:28" x14ac:dyDescent="0.25">
      <c r="A334" s="22" t="s">
        <v>72</v>
      </c>
      <c r="B334" s="18"/>
      <c r="G334" s="2" t="s">
        <v>35</v>
      </c>
      <c r="H334" s="3">
        <f>(B311+B312+B315+B316)*0.22222</f>
        <v>0</v>
      </c>
      <c r="I334" s="9">
        <f>(H334/18)*1.1</f>
        <v>0</v>
      </c>
      <c r="J334" s="9"/>
      <c r="M334" s="10"/>
      <c r="N334" s="10"/>
      <c r="O334" s="10"/>
      <c r="P334" s="23"/>
    </row>
    <row r="335" spans="1:28" x14ac:dyDescent="0.25">
      <c r="B335" s="18"/>
      <c r="G335" s="2" t="s">
        <v>36</v>
      </c>
      <c r="H335" s="3">
        <f>(B311+B312+B315+B316)*0.25</f>
        <v>0</v>
      </c>
      <c r="I335" s="9">
        <f>(H335/18)*1.1</f>
        <v>0</v>
      </c>
      <c r="J335" s="9"/>
      <c r="AB335">
        <f>SUM(AB311:AB333)</f>
        <v>0</v>
      </c>
    </row>
    <row r="336" spans="1:28" x14ac:dyDescent="0.25">
      <c r="A336" s="21" t="s">
        <v>82</v>
      </c>
      <c r="B336" s="17"/>
      <c r="C336" s="25" t="s">
        <v>83</v>
      </c>
    </row>
    <row r="337" spans="1:24" x14ac:dyDescent="0.25">
      <c r="A337" s="21" t="s">
        <v>84</v>
      </c>
      <c r="B337" s="17"/>
      <c r="C337" s="25" t="s">
        <v>98</v>
      </c>
    </row>
    <row r="338" spans="1:24" x14ac:dyDescent="0.25">
      <c r="A338" s="27" t="s">
        <v>96</v>
      </c>
      <c r="B338" s="24"/>
      <c r="C338" s="26" t="s">
        <v>97</v>
      </c>
    </row>
    <row r="340" spans="1:24" x14ac:dyDescent="0.25">
      <c r="P340" s="12"/>
      <c r="Q340" s="14">
        <f>SUM(Q311:Q336)</f>
        <v>0</v>
      </c>
      <c r="R340" s="14">
        <f t="shared" ref="R340" si="103">SUM(R311:R336)</f>
        <v>0</v>
      </c>
      <c r="S340" s="14">
        <f t="shared" ref="S340" si="104">SUM(S311:S336)</f>
        <v>0</v>
      </c>
      <c r="T340" s="14">
        <f t="shared" ref="T340" si="105">SUM(T311:T336)</f>
        <v>0</v>
      </c>
      <c r="U340" s="14">
        <f t="shared" ref="U340" si="106">SUM(U311:U336)</f>
        <v>0</v>
      </c>
      <c r="V340" s="14">
        <f t="shared" ref="V340" si="107">SUM(V311:V336)</f>
        <v>0</v>
      </c>
      <c r="W340" s="14">
        <f t="shared" ref="W340" si="108">SUM(W311:W336)</f>
        <v>0</v>
      </c>
      <c r="X340" s="14">
        <f t="shared" ref="X340" si="109">SUM(X311:X336)</f>
        <v>0</v>
      </c>
    </row>
    <row r="341" spans="1:24" x14ac:dyDescent="0.25">
      <c r="A341" s="13" t="s">
        <v>66</v>
      </c>
      <c r="B341" s="13" t="s">
        <v>56</v>
      </c>
      <c r="C341" s="14">
        <f>SUMIF(Q342:Q349,B341,R342:R349)/((100-B342)/100)</f>
        <v>0</v>
      </c>
      <c r="D341" s="14"/>
    </row>
    <row r="342" spans="1:24" x14ac:dyDescent="0.25">
      <c r="A342" s="13" t="s">
        <v>169</v>
      </c>
      <c r="B342" s="13"/>
      <c r="C342" s="1"/>
      <c r="D342" s="1"/>
      <c r="Q342" s="13" t="s">
        <v>56</v>
      </c>
      <c r="R342" s="11">
        <f>Q340/((100-B346)/100)</f>
        <v>0</v>
      </c>
    </row>
    <row r="343" spans="1:24" x14ac:dyDescent="0.25">
      <c r="Q343" s="13" t="s">
        <v>55</v>
      </c>
      <c r="R343" s="11">
        <f>R340/((100-B346)/100)</f>
        <v>0</v>
      </c>
    </row>
    <row r="344" spans="1:24" x14ac:dyDescent="0.25">
      <c r="A344" s="13" t="s">
        <v>76</v>
      </c>
      <c r="C344" s="37">
        <f>AB335*((100+B345)/100)</f>
        <v>0</v>
      </c>
      <c r="Q344" s="13" t="s">
        <v>57</v>
      </c>
      <c r="R344" s="11">
        <f>S340/((100-B346)/100)</f>
        <v>0</v>
      </c>
    </row>
    <row r="345" spans="1:24" x14ac:dyDescent="0.25">
      <c r="A345" s="13" t="s">
        <v>154</v>
      </c>
      <c r="B345" s="4">
        <v>0</v>
      </c>
      <c r="Q345" s="13" t="s">
        <v>58</v>
      </c>
      <c r="R345" s="11">
        <f>T340/((100-B346)/100)</f>
        <v>0</v>
      </c>
    </row>
    <row r="346" spans="1:24" x14ac:dyDescent="0.25">
      <c r="Q346" s="13" t="s">
        <v>59</v>
      </c>
      <c r="R346" s="11">
        <f>U340/((100-B346)/100)</f>
        <v>0</v>
      </c>
    </row>
    <row r="347" spans="1:24" x14ac:dyDescent="0.25">
      <c r="Q347" s="13" t="s">
        <v>61</v>
      </c>
      <c r="R347" s="11">
        <f>V340/((100-B346)/100)</f>
        <v>0</v>
      </c>
    </row>
    <row r="348" spans="1:24" x14ac:dyDescent="0.25">
      <c r="Q348" s="13" t="s">
        <v>62</v>
      </c>
      <c r="R348" s="11">
        <f>W340/((100-B346)/100)</f>
        <v>0</v>
      </c>
    </row>
    <row r="349" spans="1:24" x14ac:dyDescent="0.25">
      <c r="Q349" s="13" t="s">
        <v>63</v>
      </c>
      <c r="R349" s="11">
        <f>X340/((100-B346)/100)</f>
        <v>0</v>
      </c>
    </row>
  </sheetData>
  <autoFilter ref="B1:B349" xr:uid="{BD1C0A81-2715-489B-A888-81A9FF2AEA25}"/>
  <dataValidations count="1">
    <dataValidation type="list" allowBlank="1" showInputMessage="1" showErrorMessage="1" sqref="B37 B255 B298 B82 B126 B169 B212 B341" xr:uid="{B759C45E-CCE0-49C5-BE9D-1C03E720BE41}">
      <formula1>$Q$32:$Q$39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52C4-C152-469F-A5D0-832641259281}">
  <dimension ref="A1:R736"/>
  <sheetViews>
    <sheetView topLeftCell="A7" zoomScale="85" zoomScaleNormal="85" workbookViewId="0">
      <selection activeCell="B65" sqref="B65"/>
    </sheetView>
  </sheetViews>
  <sheetFormatPr defaultColWidth="8.85546875" defaultRowHeight="15" x14ac:dyDescent="0.25"/>
  <cols>
    <col min="1" max="1" width="29.42578125" customWidth="1"/>
    <col min="2" max="2" width="18.85546875" customWidth="1"/>
    <col min="3" max="3" width="16.85546875" customWidth="1"/>
    <col min="4" max="4" width="17.85546875" customWidth="1"/>
    <col min="5" max="5" width="22.140625" customWidth="1"/>
    <col min="6" max="6" width="25.42578125" customWidth="1"/>
    <col min="7" max="7" width="11.42578125" customWidth="1"/>
    <col min="8" max="8" width="9.140625" customWidth="1"/>
    <col min="9" max="9" width="16.5703125" customWidth="1"/>
    <col min="10" max="10" width="14" customWidth="1"/>
    <col min="11" max="11" width="16.5703125" customWidth="1"/>
    <col min="12" max="12" width="12" customWidth="1"/>
    <col min="13" max="13" width="14.7109375" customWidth="1"/>
    <col min="14" max="14" width="5.42578125" customWidth="1"/>
    <col min="15" max="15" width="2.42578125" customWidth="1"/>
    <col min="16" max="16" width="23.85546875" customWidth="1"/>
    <col min="17" max="17" width="10.5703125" customWidth="1"/>
    <col min="18" max="18" width="11.85546875" customWidth="1"/>
    <col min="19" max="19" width="8.140625" customWidth="1"/>
    <col min="20" max="20" width="6.42578125" customWidth="1"/>
    <col min="21" max="21" width="12.140625" customWidth="1"/>
  </cols>
  <sheetData>
    <row r="1" spans="1:18" x14ac:dyDescent="0.25">
      <c r="A1" s="1" t="s">
        <v>119</v>
      </c>
    </row>
    <row r="3" spans="1:18" x14ac:dyDescent="0.25">
      <c r="A3" s="13" t="s">
        <v>106</v>
      </c>
      <c r="B3" s="13" t="s">
        <v>79</v>
      </c>
      <c r="D3" s="43"/>
    </row>
    <row r="4" spans="1:18" x14ac:dyDescent="0.25">
      <c r="A4" s="13" t="s">
        <v>162</v>
      </c>
      <c r="B4" s="69" t="s">
        <v>641</v>
      </c>
      <c r="D4" s="43"/>
      <c r="K4" s="1" t="s">
        <v>144</v>
      </c>
      <c r="Q4" t="s">
        <v>572</v>
      </c>
    </row>
    <row r="5" spans="1:18" x14ac:dyDescent="0.25">
      <c r="A5" s="4"/>
      <c r="B5" s="17" t="s">
        <v>123</v>
      </c>
      <c r="H5" s="1" t="s">
        <v>125</v>
      </c>
      <c r="I5" s="1" t="s">
        <v>144</v>
      </c>
      <c r="J5" t="s">
        <v>125</v>
      </c>
      <c r="K5" s="25" t="s">
        <v>151</v>
      </c>
      <c r="L5" s="13" t="s">
        <v>150</v>
      </c>
      <c r="N5" s="1" t="s">
        <v>126</v>
      </c>
      <c r="Q5" s="1" t="s">
        <v>76</v>
      </c>
      <c r="R5" t="s">
        <v>155</v>
      </c>
    </row>
    <row r="6" spans="1:18" x14ac:dyDescent="0.25">
      <c r="A6" s="35" t="s">
        <v>120</v>
      </c>
      <c r="B6" s="17">
        <v>1500</v>
      </c>
      <c r="G6" t="s">
        <v>124</v>
      </c>
      <c r="I6">
        <f>(B6/50)*1.1</f>
        <v>33</v>
      </c>
      <c r="J6" t="s">
        <v>189</v>
      </c>
      <c r="K6">
        <f t="shared" ref="K6" si="0">ROUNDUP(I6,0)</f>
        <v>33</v>
      </c>
      <c r="L6">
        <v>11.26</v>
      </c>
      <c r="N6">
        <f>K6*L6</f>
        <v>371.58</v>
      </c>
      <c r="P6" t="s">
        <v>156</v>
      </c>
      <c r="Q6">
        <v>1.25</v>
      </c>
      <c r="R6">
        <f>B6*Q6</f>
        <v>1875</v>
      </c>
    </row>
    <row r="7" spans="1:18" x14ac:dyDescent="0.25">
      <c r="A7" s="4"/>
      <c r="B7" s="18"/>
    </row>
    <row r="8" spans="1:18" x14ac:dyDescent="0.25">
      <c r="A8" s="35" t="s">
        <v>142</v>
      </c>
      <c r="B8" s="17"/>
      <c r="G8" t="s">
        <v>141</v>
      </c>
      <c r="H8" t="s">
        <v>127</v>
      </c>
      <c r="I8">
        <f>(B8*0.4)/10</f>
        <v>0</v>
      </c>
      <c r="K8">
        <f t="shared" ref="K8" si="1">ROUNDUP(I8,0)</f>
        <v>0</v>
      </c>
      <c r="L8">
        <v>41.1</v>
      </c>
      <c r="N8">
        <f>K8*L8</f>
        <v>0</v>
      </c>
      <c r="P8" t="s">
        <v>157</v>
      </c>
      <c r="Q8">
        <v>0.72</v>
      </c>
      <c r="R8">
        <f t="shared" ref="R8:R17" si="2">B8*Q8</f>
        <v>0</v>
      </c>
    </row>
    <row r="9" spans="1:18" x14ac:dyDescent="0.25">
      <c r="A9" s="35" t="s">
        <v>143</v>
      </c>
      <c r="B9" s="17"/>
      <c r="P9" t="s">
        <v>157</v>
      </c>
      <c r="Q9">
        <v>0.72</v>
      </c>
      <c r="R9">
        <f t="shared" si="2"/>
        <v>0</v>
      </c>
    </row>
    <row r="10" spans="1:18" x14ac:dyDescent="0.25">
      <c r="A10" s="4"/>
      <c r="B10" s="18"/>
      <c r="R10">
        <f t="shared" si="2"/>
        <v>0</v>
      </c>
    </row>
    <row r="11" spans="1:18" x14ac:dyDescent="0.25">
      <c r="A11" s="35" t="s">
        <v>121</v>
      </c>
      <c r="B11" s="17"/>
      <c r="C11" s="25" t="s">
        <v>580</v>
      </c>
      <c r="G11" t="s">
        <v>128</v>
      </c>
      <c r="H11" t="s">
        <v>30</v>
      </c>
      <c r="I11">
        <f>(B11*1.2)/20</f>
        <v>0</v>
      </c>
      <c r="J11" t="s">
        <v>148</v>
      </c>
      <c r="K11">
        <f>ROUNDUP(I11,0)</f>
        <v>0</v>
      </c>
      <c r="L11">
        <v>11.9</v>
      </c>
      <c r="N11">
        <f>K11*L11</f>
        <v>0</v>
      </c>
      <c r="P11" t="s">
        <v>158</v>
      </c>
      <c r="Q11">
        <v>3.96</v>
      </c>
      <c r="R11">
        <f t="shared" si="2"/>
        <v>0</v>
      </c>
    </row>
    <row r="12" spans="1:18" x14ac:dyDescent="0.25">
      <c r="A12" s="4"/>
      <c r="B12" s="18"/>
      <c r="H12" t="s">
        <v>31</v>
      </c>
      <c r="I12">
        <f>(B11*1.2)/20</f>
        <v>0</v>
      </c>
      <c r="J12" t="s">
        <v>149</v>
      </c>
      <c r="K12">
        <f>ROUNDUP(I12,0)</f>
        <v>0</v>
      </c>
      <c r="L12">
        <v>13.12</v>
      </c>
      <c r="N12">
        <f>K12*L12</f>
        <v>0</v>
      </c>
      <c r="R12">
        <f t="shared" si="2"/>
        <v>0</v>
      </c>
    </row>
    <row r="13" spans="1:18" x14ac:dyDescent="0.25">
      <c r="A13" s="35" t="s">
        <v>139</v>
      </c>
      <c r="B13" s="17"/>
      <c r="P13" t="s">
        <v>159</v>
      </c>
      <c r="Q13">
        <v>28.98</v>
      </c>
      <c r="R13">
        <f t="shared" si="2"/>
        <v>0</v>
      </c>
    </row>
    <row r="14" spans="1:18" x14ac:dyDescent="0.25">
      <c r="A14" s="4"/>
      <c r="B14" s="18"/>
      <c r="G14" t="s">
        <v>129</v>
      </c>
      <c r="H14" t="s">
        <v>24</v>
      </c>
      <c r="I14">
        <f>(B9*0.4)/10</f>
        <v>0</v>
      </c>
      <c r="J14" t="s">
        <v>54</v>
      </c>
      <c r="K14">
        <f t="shared" ref="K14" si="3">ROUNDUP(I14,0)</f>
        <v>0</v>
      </c>
      <c r="L14">
        <v>25.73</v>
      </c>
      <c r="N14">
        <f>K14*L14</f>
        <v>0</v>
      </c>
      <c r="R14">
        <f t="shared" si="2"/>
        <v>0</v>
      </c>
    </row>
    <row r="15" spans="1:18" x14ac:dyDescent="0.25">
      <c r="A15" s="35" t="s">
        <v>122</v>
      </c>
      <c r="B15" s="17">
        <f>850+380</f>
        <v>1230</v>
      </c>
      <c r="P15" t="s">
        <v>160</v>
      </c>
      <c r="Q15">
        <v>3.06</v>
      </c>
      <c r="R15">
        <f t="shared" si="2"/>
        <v>3763.8</v>
      </c>
    </row>
    <row r="16" spans="1:18" x14ac:dyDescent="0.25">
      <c r="A16" s="35" t="s">
        <v>137</v>
      </c>
      <c r="B16" s="17">
        <v>650</v>
      </c>
      <c r="G16" t="s">
        <v>140</v>
      </c>
      <c r="H16" t="s">
        <v>130</v>
      </c>
      <c r="I16">
        <f>(B13*12)/20</f>
        <v>0</v>
      </c>
      <c r="J16" t="s">
        <v>130</v>
      </c>
      <c r="K16">
        <f>ROUNDUP(I16,0)</f>
        <v>0</v>
      </c>
      <c r="L16">
        <v>15.07</v>
      </c>
      <c r="N16">
        <f>K16*L16</f>
        <v>0</v>
      </c>
      <c r="P16" t="s">
        <v>161</v>
      </c>
      <c r="Q16">
        <v>3.06</v>
      </c>
      <c r="R16">
        <f t="shared" si="2"/>
        <v>1989</v>
      </c>
    </row>
    <row r="17" spans="1:18" x14ac:dyDescent="0.25">
      <c r="A17" s="35" t="s">
        <v>138</v>
      </c>
      <c r="B17" s="44">
        <v>200</v>
      </c>
      <c r="I17" s="4"/>
      <c r="K17" s="4"/>
      <c r="P17" t="s">
        <v>161</v>
      </c>
      <c r="Q17">
        <v>3.06</v>
      </c>
      <c r="R17">
        <f t="shared" si="2"/>
        <v>612</v>
      </c>
    </row>
    <row r="18" spans="1:18" x14ac:dyDescent="0.25">
      <c r="A18" s="4"/>
      <c r="B18" s="45"/>
      <c r="G18" t="s">
        <v>135</v>
      </c>
      <c r="H18" t="s">
        <v>131</v>
      </c>
      <c r="I18" s="33">
        <f>(B15*2*0.222222)/18</f>
        <v>30.370339999999999</v>
      </c>
      <c r="J18" s="33" t="s">
        <v>147</v>
      </c>
      <c r="K18" s="33">
        <f>ROUNDUP(I18,0)</f>
        <v>31</v>
      </c>
      <c r="L18" s="33">
        <v>43</v>
      </c>
      <c r="M18" s="33"/>
      <c r="N18">
        <f>K18*L18</f>
        <v>1333</v>
      </c>
      <c r="R18">
        <f t="shared" ref="R18:R22" si="4">B18*Q18</f>
        <v>0</v>
      </c>
    </row>
    <row r="19" spans="1:18" x14ac:dyDescent="0.25">
      <c r="A19" s="31" t="s">
        <v>171</v>
      </c>
      <c r="B19" s="42"/>
      <c r="C19" s="43" t="s">
        <v>179</v>
      </c>
      <c r="D19" s="43" t="s">
        <v>79</v>
      </c>
      <c r="E19" s="43" t="s">
        <v>125</v>
      </c>
      <c r="F19" s="43" t="s">
        <v>178</v>
      </c>
      <c r="I19" s="33"/>
      <c r="J19" s="33"/>
      <c r="K19" s="33"/>
      <c r="L19" s="33"/>
      <c r="M19" s="33"/>
      <c r="R19">
        <f t="shared" si="4"/>
        <v>0</v>
      </c>
    </row>
    <row r="20" spans="1:18" x14ac:dyDescent="0.25">
      <c r="A20" s="40" t="s">
        <v>175</v>
      </c>
      <c r="B20" s="17"/>
      <c r="C20" s="47"/>
      <c r="D20" s="17"/>
      <c r="E20" s="46"/>
      <c r="F20" s="46" t="s">
        <v>180</v>
      </c>
      <c r="G20" t="s">
        <v>134</v>
      </c>
      <c r="H20" t="s">
        <v>132</v>
      </c>
      <c r="I20" s="33">
        <f>(B16*2*0.222222)/18</f>
        <v>16.049366666666668</v>
      </c>
      <c r="J20" s="33" t="s">
        <v>145</v>
      </c>
      <c r="K20" s="33">
        <f>ROUNDUP(I20,0)</f>
        <v>17</v>
      </c>
      <c r="L20" s="33">
        <v>65</v>
      </c>
      <c r="M20" s="33"/>
      <c r="N20">
        <f>K20*L20</f>
        <v>1105</v>
      </c>
      <c r="R20">
        <f t="shared" si="4"/>
        <v>0</v>
      </c>
    </row>
    <row r="21" spans="1:18" x14ac:dyDescent="0.25">
      <c r="A21" s="40" t="s">
        <v>176</v>
      </c>
      <c r="B21" s="17"/>
      <c r="C21" s="47"/>
      <c r="D21" s="17"/>
      <c r="E21" s="46"/>
      <c r="F21" s="46" t="s">
        <v>180</v>
      </c>
      <c r="G21" t="s">
        <v>136</v>
      </c>
      <c r="H21" t="s">
        <v>133</v>
      </c>
      <c r="I21" s="33">
        <f>(B17*2*0.222222)/18</f>
        <v>4.9382666666666672</v>
      </c>
      <c r="J21" s="33" t="s">
        <v>146</v>
      </c>
      <c r="K21" s="33">
        <f>ROUNDUP(I21,0)</f>
        <v>5</v>
      </c>
      <c r="L21" s="33">
        <v>149</v>
      </c>
      <c r="M21" s="33"/>
      <c r="N21">
        <f>K21*L21</f>
        <v>745</v>
      </c>
      <c r="R21">
        <f t="shared" si="4"/>
        <v>0</v>
      </c>
    </row>
    <row r="22" spans="1:18" x14ac:dyDescent="0.25">
      <c r="A22" s="40" t="s">
        <v>177</v>
      </c>
      <c r="B22" s="17"/>
      <c r="C22" s="47"/>
      <c r="D22" s="17"/>
      <c r="E22" s="46"/>
      <c r="F22" s="46" t="s">
        <v>180</v>
      </c>
      <c r="I22" s="33"/>
      <c r="J22" s="33"/>
      <c r="K22" s="33"/>
      <c r="L22" s="33"/>
      <c r="M22" s="33"/>
      <c r="R22">
        <f t="shared" si="4"/>
        <v>0</v>
      </c>
    </row>
    <row r="23" spans="1:18" x14ac:dyDescent="0.25">
      <c r="A23" s="4"/>
      <c r="B23" s="19"/>
      <c r="C23" s="43" t="s">
        <v>579</v>
      </c>
      <c r="G23" s="39" t="s">
        <v>172</v>
      </c>
      <c r="I23" s="32">
        <f>((B20*2)*0.22222)/F20</f>
        <v>0</v>
      </c>
      <c r="J23" s="39" t="s">
        <v>172</v>
      </c>
      <c r="K23" s="33">
        <f>ROUNDUP(I23,0)</f>
        <v>0</v>
      </c>
      <c r="L23" s="33">
        <f>C20</f>
        <v>0</v>
      </c>
      <c r="M23" s="33"/>
      <c r="N23">
        <f t="shared" ref="N23:N25" si="5">K23*L23</f>
        <v>0</v>
      </c>
      <c r="Q23">
        <v>3.06</v>
      </c>
      <c r="R23">
        <f>B20*Q23</f>
        <v>0</v>
      </c>
    </row>
    <row r="24" spans="1:18" x14ac:dyDescent="0.25">
      <c r="A24" s="17" t="s">
        <v>152</v>
      </c>
      <c r="B24" s="17">
        <v>500</v>
      </c>
      <c r="G24" s="39" t="s">
        <v>173</v>
      </c>
      <c r="I24" s="32">
        <f t="shared" ref="I24:I25" si="6">((B21*2)*0.22222)/F21</f>
        <v>0</v>
      </c>
      <c r="J24" s="39" t="s">
        <v>173</v>
      </c>
      <c r="K24" s="33">
        <f t="shared" ref="K24:K25" si="7">ROUNDUP(I24,0)</f>
        <v>0</v>
      </c>
      <c r="L24" s="33">
        <f t="shared" ref="L24:L25" si="8">C21</f>
        <v>0</v>
      </c>
      <c r="M24" s="33"/>
      <c r="N24">
        <f t="shared" si="5"/>
        <v>0</v>
      </c>
      <c r="Q24">
        <v>3.06</v>
      </c>
      <c r="R24">
        <f t="shared" ref="R24:R25" si="9">B21*Q24</f>
        <v>0</v>
      </c>
    </row>
    <row r="25" spans="1:18" x14ac:dyDescent="0.25">
      <c r="A25" s="4"/>
      <c r="B25" s="13">
        <v>0</v>
      </c>
      <c r="G25" s="39" t="s">
        <v>174</v>
      </c>
      <c r="I25" s="32">
        <f t="shared" si="6"/>
        <v>0</v>
      </c>
      <c r="J25" s="39" t="s">
        <v>174</v>
      </c>
      <c r="K25" s="33">
        <f t="shared" si="7"/>
        <v>0</v>
      </c>
      <c r="L25" s="33">
        <f t="shared" si="8"/>
        <v>0</v>
      </c>
      <c r="N25">
        <f t="shared" si="5"/>
        <v>0</v>
      </c>
      <c r="Q25">
        <v>3.06</v>
      </c>
      <c r="R25">
        <f t="shared" si="9"/>
        <v>0</v>
      </c>
    </row>
    <row r="26" spans="1:18" x14ac:dyDescent="0.25">
      <c r="A26" s="4"/>
      <c r="B26" s="4"/>
    </row>
    <row r="27" spans="1:18" x14ac:dyDescent="0.25">
      <c r="A27" s="4" t="s">
        <v>153</v>
      </c>
      <c r="B27" s="34">
        <f>N30/((100-B28)/100)</f>
        <v>4505.0888888888885</v>
      </c>
    </row>
    <row r="28" spans="1:18" x14ac:dyDescent="0.25">
      <c r="A28" s="4" t="s">
        <v>67</v>
      </c>
      <c r="B28" s="13">
        <v>10</v>
      </c>
      <c r="C28" s="1"/>
      <c r="G28" t="s">
        <v>96</v>
      </c>
      <c r="N28">
        <f>B24</f>
        <v>500</v>
      </c>
    </row>
    <row r="29" spans="1:18" x14ac:dyDescent="0.25">
      <c r="A29" s="4"/>
      <c r="B29" s="4"/>
    </row>
    <row r="30" spans="1:18" x14ac:dyDescent="0.25">
      <c r="A30" s="4" t="s">
        <v>76</v>
      </c>
      <c r="B30" s="34">
        <f>R30*((100+B31)/100)</f>
        <v>8239.7999999999993</v>
      </c>
      <c r="N30">
        <f>SUM(N6:N28)</f>
        <v>4054.58</v>
      </c>
      <c r="R30">
        <f>SUM(R6:R29)</f>
        <v>8239.7999999999993</v>
      </c>
    </row>
    <row r="31" spans="1:18" x14ac:dyDescent="0.25">
      <c r="A31" s="4" t="s">
        <v>154</v>
      </c>
      <c r="B31" s="4"/>
    </row>
    <row r="33" spans="1:18" x14ac:dyDescent="0.25">
      <c r="A33" s="22" t="s">
        <v>155</v>
      </c>
      <c r="B33" s="36">
        <f>B27+B30</f>
        <v>12744.888888888887</v>
      </c>
    </row>
    <row r="36" spans="1:18" x14ac:dyDescent="0.25">
      <c r="A36" s="13" t="s">
        <v>107</v>
      </c>
      <c r="B36" s="13" t="s">
        <v>79</v>
      </c>
    </row>
    <row r="37" spans="1:18" x14ac:dyDescent="0.25">
      <c r="A37" s="13" t="s">
        <v>162</v>
      </c>
      <c r="B37" s="69" t="s">
        <v>645</v>
      </c>
    </row>
    <row r="38" spans="1:18" x14ac:dyDescent="0.25">
      <c r="A38" s="4"/>
      <c r="B38" s="17" t="s">
        <v>123</v>
      </c>
      <c r="H38" s="1" t="s">
        <v>125</v>
      </c>
      <c r="I38" s="1" t="s">
        <v>144</v>
      </c>
      <c r="J38" t="s">
        <v>125</v>
      </c>
      <c r="K38" s="1" t="s">
        <v>151</v>
      </c>
      <c r="L38" s="13" t="s">
        <v>150</v>
      </c>
      <c r="N38" s="1" t="s">
        <v>126</v>
      </c>
      <c r="Q38" s="1" t="s">
        <v>76</v>
      </c>
      <c r="R38" t="s">
        <v>155</v>
      </c>
    </row>
    <row r="39" spans="1:18" x14ac:dyDescent="0.25">
      <c r="A39" s="35" t="s">
        <v>120</v>
      </c>
      <c r="B39" s="17"/>
      <c r="G39" t="s">
        <v>124</v>
      </c>
      <c r="I39">
        <f>(B39/50)*1.1</f>
        <v>0</v>
      </c>
      <c r="K39">
        <f t="shared" ref="K39" si="10">ROUNDUP(I39,0)</f>
        <v>0</v>
      </c>
      <c r="L39">
        <v>11.26</v>
      </c>
      <c r="N39">
        <f>K39*L39</f>
        <v>0</v>
      </c>
      <c r="P39" t="s">
        <v>156</v>
      </c>
      <c r="Q39">
        <v>1.25</v>
      </c>
      <c r="R39">
        <f>B39*Q39</f>
        <v>0</v>
      </c>
    </row>
    <row r="40" spans="1:18" x14ac:dyDescent="0.25">
      <c r="A40" s="4"/>
      <c r="B40" s="18"/>
    </row>
    <row r="41" spans="1:18" x14ac:dyDescent="0.25">
      <c r="A41" s="35" t="s">
        <v>142</v>
      </c>
      <c r="B41" s="17"/>
      <c r="G41" t="s">
        <v>141</v>
      </c>
      <c r="H41" t="s">
        <v>127</v>
      </c>
      <c r="I41">
        <f>(B41*0.4)/10</f>
        <v>0</v>
      </c>
      <c r="K41">
        <f t="shared" ref="K41" si="11">ROUNDUP(I41,0)</f>
        <v>0</v>
      </c>
      <c r="L41">
        <v>41.1</v>
      </c>
      <c r="N41">
        <f>K41*L41</f>
        <v>0</v>
      </c>
      <c r="P41" t="s">
        <v>157</v>
      </c>
      <c r="Q41">
        <v>0.72</v>
      </c>
      <c r="R41">
        <f t="shared" ref="R41:R50" si="12">B41*Q41</f>
        <v>0</v>
      </c>
    </row>
    <row r="42" spans="1:18" x14ac:dyDescent="0.25">
      <c r="A42" s="35" t="s">
        <v>143</v>
      </c>
      <c r="B42" s="17"/>
      <c r="P42" t="s">
        <v>157</v>
      </c>
      <c r="Q42">
        <v>0.72</v>
      </c>
      <c r="R42">
        <f t="shared" si="12"/>
        <v>0</v>
      </c>
    </row>
    <row r="43" spans="1:18" x14ac:dyDescent="0.25">
      <c r="A43" s="4"/>
      <c r="B43" s="18"/>
      <c r="R43">
        <f t="shared" si="12"/>
        <v>0</v>
      </c>
    </row>
    <row r="44" spans="1:18" x14ac:dyDescent="0.25">
      <c r="A44" s="35" t="s">
        <v>121</v>
      </c>
      <c r="B44" s="17"/>
      <c r="C44" s="25" t="s">
        <v>580</v>
      </c>
      <c r="G44" t="s">
        <v>128</v>
      </c>
      <c r="H44" t="s">
        <v>30</v>
      </c>
      <c r="I44">
        <f>(B44*1.2)/20</f>
        <v>0</v>
      </c>
      <c r="J44" t="s">
        <v>148</v>
      </c>
      <c r="K44">
        <f>ROUNDUP(I44,0)</f>
        <v>0</v>
      </c>
      <c r="L44">
        <v>11.9</v>
      </c>
      <c r="N44">
        <f>K44*L44</f>
        <v>0</v>
      </c>
      <c r="P44" t="s">
        <v>158</v>
      </c>
      <c r="Q44">
        <v>3.96</v>
      </c>
      <c r="R44">
        <f t="shared" si="12"/>
        <v>0</v>
      </c>
    </row>
    <row r="45" spans="1:18" x14ac:dyDescent="0.25">
      <c r="A45" s="4"/>
      <c r="B45" s="18"/>
      <c r="H45" t="s">
        <v>31</v>
      </c>
      <c r="I45">
        <f>(B44*1.2)/20</f>
        <v>0</v>
      </c>
      <c r="J45" t="s">
        <v>149</v>
      </c>
      <c r="K45">
        <f>ROUNDUP(I45,0)</f>
        <v>0</v>
      </c>
      <c r="L45">
        <v>13.12</v>
      </c>
      <c r="N45">
        <f>K45*L45</f>
        <v>0</v>
      </c>
      <c r="R45">
        <f t="shared" si="12"/>
        <v>0</v>
      </c>
    </row>
    <row r="46" spans="1:18" x14ac:dyDescent="0.25">
      <c r="A46" s="35" t="s">
        <v>139</v>
      </c>
      <c r="B46" s="17"/>
      <c r="P46" t="s">
        <v>159</v>
      </c>
      <c r="Q46">
        <v>28.98</v>
      </c>
      <c r="R46">
        <f t="shared" si="12"/>
        <v>0</v>
      </c>
    </row>
    <row r="47" spans="1:18" x14ac:dyDescent="0.25">
      <c r="A47" s="4"/>
      <c r="B47" s="18"/>
      <c r="G47" t="s">
        <v>129</v>
      </c>
      <c r="H47" t="s">
        <v>24</v>
      </c>
      <c r="I47">
        <f>(B42*0.4)/10</f>
        <v>0</v>
      </c>
      <c r="J47" t="s">
        <v>54</v>
      </c>
      <c r="K47">
        <f t="shared" ref="K47" si="13">ROUNDUP(I47,0)</f>
        <v>0</v>
      </c>
      <c r="L47">
        <v>25.73</v>
      </c>
      <c r="N47">
        <f>K47*L47</f>
        <v>0</v>
      </c>
      <c r="R47">
        <f t="shared" si="12"/>
        <v>0</v>
      </c>
    </row>
    <row r="48" spans="1:18" x14ac:dyDescent="0.25">
      <c r="A48" s="35" t="s">
        <v>122</v>
      </c>
      <c r="B48" s="17">
        <v>35</v>
      </c>
      <c r="P48" t="s">
        <v>160</v>
      </c>
      <c r="Q48">
        <v>3.06</v>
      </c>
      <c r="R48">
        <f t="shared" si="12"/>
        <v>107.10000000000001</v>
      </c>
    </row>
    <row r="49" spans="1:18" x14ac:dyDescent="0.25">
      <c r="A49" s="35" t="s">
        <v>137</v>
      </c>
      <c r="B49" s="17"/>
      <c r="G49" t="s">
        <v>140</v>
      </c>
      <c r="H49" t="s">
        <v>130</v>
      </c>
      <c r="I49">
        <f>(B46*12)/20</f>
        <v>0</v>
      </c>
      <c r="J49" t="s">
        <v>130</v>
      </c>
      <c r="K49">
        <f>ROUNDUP(I49,0)</f>
        <v>0</v>
      </c>
      <c r="L49">
        <v>15.07</v>
      </c>
      <c r="N49">
        <f>K49*L49</f>
        <v>0</v>
      </c>
      <c r="P49" t="s">
        <v>161</v>
      </c>
      <c r="Q49">
        <v>3.06</v>
      </c>
      <c r="R49">
        <f t="shared" si="12"/>
        <v>0</v>
      </c>
    </row>
    <row r="50" spans="1:18" x14ac:dyDescent="0.25">
      <c r="A50" s="35" t="s">
        <v>138</v>
      </c>
      <c r="B50" s="44">
        <v>35</v>
      </c>
      <c r="I50" s="4"/>
      <c r="K50" s="4"/>
      <c r="P50" t="s">
        <v>161</v>
      </c>
      <c r="Q50">
        <v>3.06</v>
      </c>
      <c r="R50">
        <f t="shared" si="12"/>
        <v>107.10000000000001</v>
      </c>
    </row>
    <row r="51" spans="1:18" x14ac:dyDescent="0.25">
      <c r="A51" s="4"/>
      <c r="B51" s="45"/>
      <c r="G51" t="s">
        <v>135</v>
      </c>
      <c r="H51" t="s">
        <v>131</v>
      </c>
      <c r="I51" s="33">
        <f>(B48*2*0.222222)/18</f>
        <v>0.86419666666666672</v>
      </c>
      <c r="J51" s="33" t="s">
        <v>147</v>
      </c>
      <c r="K51" s="33">
        <f>ROUNDUP(I51,0)</f>
        <v>1</v>
      </c>
      <c r="L51" s="33">
        <v>51.58</v>
      </c>
      <c r="M51" s="33"/>
      <c r="N51">
        <f>K51*L51</f>
        <v>51.58</v>
      </c>
      <c r="R51">
        <f t="shared" ref="R51:R55" si="14">B51*Q51</f>
        <v>0</v>
      </c>
    </row>
    <row r="52" spans="1:18" x14ac:dyDescent="0.25">
      <c r="A52" s="31" t="s">
        <v>171</v>
      </c>
      <c r="B52" s="42"/>
      <c r="C52" s="43" t="s">
        <v>179</v>
      </c>
      <c r="D52" s="43" t="s">
        <v>79</v>
      </c>
      <c r="E52" s="43" t="s">
        <v>125</v>
      </c>
      <c r="F52" s="43" t="s">
        <v>178</v>
      </c>
      <c r="I52" s="33"/>
      <c r="J52" s="33"/>
      <c r="K52" s="33"/>
      <c r="L52" s="33"/>
      <c r="M52" s="33"/>
      <c r="R52">
        <f t="shared" si="14"/>
        <v>0</v>
      </c>
    </row>
    <row r="53" spans="1:18" x14ac:dyDescent="0.25">
      <c r="A53" s="40" t="s">
        <v>175</v>
      </c>
      <c r="B53" s="17"/>
      <c r="C53" s="47"/>
      <c r="D53" s="17"/>
      <c r="E53" s="46"/>
      <c r="F53" s="46" t="s">
        <v>180</v>
      </c>
      <c r="G53" t="s">
        <v>134</v>
      </c>
      <c r="H53" t="s">
        <v>132</v>
      </c>
      <c r="I53" s="33">
        <f>(B49*2*0.222222)/18</f>
        <v>0</v>
      </c>
      <c r="J53" s="33" t="s">
        <v>145</v>
      </c>
      <c r="K53" s="33">
        <f>ROUNDUP(I53,0)</f>
        <v>0</v>
      </c>
      <c r="L53" s="33">
        <v>74.099999999999994</v>
      </c>
      <c r="M53" s="33"/>
      <c r="N53">
        <f>K53*L53</f>
        <v>0</v>
      </c>
      <c r="R53">
        <f t="shared" si="14"/>
        <v>0</v>
      </c>
    </row>
    <row r="54" spans="1:18" x14ac:dyDescent="0.25">
      <c r="A54" s="40" t="s">
        <v>176</v>
      </c>
      <c r="B54" s="17"/>
      <c r="C54" s="47"/>
      <c r="D54" s="17"/>
      <c r="E54" s="46"/>
      <c r="F54" s="46" t="s">
        <v>180</v>
      </c>
      <c r="G54" t="s">
        <v>136</v>
      </c>
      <c r="H54" t="s">
        <v>133</v>
      </c>
      <c r="I54" s="33">
        <f>(B50*2*0.222222)/18</f>
        <v>0.86419666666666672</v>
      </c>
      <c r="J54" s="33" t="s">
        <v>146</v>
      </c>
      <c r="K54" s="33">
        <f>ROUNDUP(I54,0)</f>
        <v>1</v>
      </c>
      <c r="L54" s="33">
        <v>149</v>
      </c>
      <c r="M54" s="33"/>
      <c r="N54">
        <f>K54*L54</f>
        <v>149</v>
      </c>
      <c r="R54">
        <f t="shared" si="14"/>
        <v>0</v>
      </c>
    </row>
    <row r="55" spans="1:18" x14ac:dyDescent="0.25">
      <c r="A55" s="40" t="s">
        <v>177</v>
      </c>
      <c r="B55" s="17"/>
      <c r="C55" s="47"/>
      <c r="D55" s="17"/>
      <c r="E55" s="46"/>
      <c r="F55" s="46" t="s">
        <v>180</v>
      </c>
      <c r="I55" s="33"/>
      <c r="J55" s="33"/>
      <c r="K55" s="33"/>
      <c r="L55" s="33"/>
      <c r="M55" s="33"/>
      <c r="R55">
        <f t="shared" si="14"/>
        <v>0</v>
      </c>
    </row>
    <row r="56" spans="1:18" x14ac:dyDescent="0.25">
      <c r="A56" s="4"/>
      <c r="B56" s="19"/>
      <c r="C56" s="43" t="s">
        <v>579</v>
      </c>
      <c r="G56" s="39" t="s">
        <v>172</v>
      </c>
      <c r="I56" s="32">
        <f>((B53*2)*0.22222)/F53</f>
        <v>0</v>
      </c>
      <c r="J56" s="39" t="s">
        <v>172</v>
      </c>
      <c r="K56" s="33">
        <f>ROUNDUP(I56,0)</f>
        <v>0</v>
      </c>
      <c r="L56" s="33">
        <f>C53</f>
        <v>0</v>
      </c>
      <c r="M56" s="33"/>
      <c r="N56">
        <f t="shared" ref="N56:N58" si="15">K56*L56</f>
        <v>0</v>
      </c>
      <c r="Q56">
        <v>3.06</v>
      </c>
      <c r="R56">
        <f>B53*Q56</f>
        <v>0</v>
      </c>
    </row>
    <row r="57" spans="1:18" x14ac:dyDescent="0.25">
      <c r="A57" s="17" t="s">
        <v>152</v>
      </c>
      <c r="B57" s="17">
        <v>200</v>
      </c>
      <c r="G57" s="39" t="s">
        <v>173</v>
      </c>
      <c r="I57" s="32">
        <f t="shared" ref="I57:I58" si="16">((B54*2)*0.22222)/F54</f>
        <v>0</v>
      </c>
      <c r="J57" s="39" t="s">
        <v>173</v>
      </c>
      <c r="K57" s="33">
        <f t="shared" ref="K57:K58" si="17">ROUNDUP(I57,0)</f>
        <v>0</v>
      </c>
      <c r="L57" s="33">
        <f t="shared" ref="L57:L58" si="18">C54</f>
        <v>0</v>
      </c>
      <c r="M57" s="33"/>
      <c r="N57">
        <f t="shared" si="15"/>
        <v>0</v>
      </c>
      <c r="Q57">
        <v>3.06</v>
      </c>
      <c r="R57">
        <f t="shared" ref="R57:R58" si="19">B54*Q57</f>
        <v>0</v>
      </c>
    </row>
    <row r="58" spans="1:18" x14ac:dyDescent="0.25">
      <c r="A58" s="4"/>
      <c r="B58" s="13"/>
      <c r="G58" s="39" t="s">
        <v>174</v>
      </c>
      <c r="I58" s="32">
        <f t="shared" si="16"/>
        <v>0</v>
      </c>
      <c r="J58" s="39" t="s">
        <v>174</v>
      </c>
      <c r="K58" s="33">
        <f t="shared" si="17"/>
        <v>0</v>
      </c>
      <c r="L58" s="33">
        <f t="shared" si="18"/>
        <v>0</v>
      </c>
      <c r="N58">
        <f t="shared" si="15"/>
        <v>0</v>
      </c>
      <c r="Q58">
        <v>3.06</v>
      </c>
      <c r="R58">
        <f t="shared" si="19"/>
        <v>0</v>
      </c>
    </row>
    <row r="59" spans="1:18" x14ac:dyDescent="0.25">
      <c r="A59" s="4"/>
      <c r="B59" s="4"/>
    </row>
    <row r="60" spans="1:18" x14ac:dyDescent="0.25">
      <c r="A60" s="4" t="s">
        <v>153</v>
      </c>
      <c r="B60" s="34">
        <f>N63/((100-B61)/100)</f>
        <v>801.16</v>
      </c>
    </row>
    <row r="61" spans="1:18" x14ac:dyDescent="0.25">
      <c r="A61" s="4" t="s">
        <v>67</v>
      </c>
      <c r="B61" s="13">
        <v>50</v>
      </c>
      <c r="C61" s="1"/>
      <c r="G61" t="s">
        <v>96</v>
      </c>
      <c r="N61">
        <f>B57</f>
        <v>200</v>
      </c>
    </row>
    <row r="62" spans="1:18" x14ac:dyDescent="0.25">
      <c r="A62" s="4"/>
      <c r="B62" s="4"/>
    </row>
    <row r="63" spans="1:18" x14ac:dyDescent="0.25">
      <c r="A63" s="4" t="s">
        <v>76</v>
      </c>
      <c r="B63" s="34">
        <f>R63*((100+B64)/100)</f>
        <v>267.75</v>
      </c>
      <c r="N63">
        <f>SUM(N39:N61)</f>
        <v>400.58</v>
      </c>
      <c r="R63">
        <f>SUM(R39:R62)</f>
        <v>214.20000000000002</v>
      </c>
    </row>
    <row r="64" spans="1:18" x14ac:dyDescent="0.25">
      <c r="A64" s="4" t="s">
        <v>154</v>
      </c>
      <c r="B64" s="13">
        <v>25</v>
      </c>
    </row>
    <row r="66" spans="1:18" x14ac:dyDescent="0.25">
      <c r="A66" s="22" t="s">
        <v>155</v>
      </c>
      <c r="B66" s="36">
        <f>B60+B63</f>
        <v>1068.9099999999999</v>
      </c>
    </row>
    <row r="69" spans="1:18" x14ac:dyDescent="0.25">
      <c r="A69" s="13" t="s">
        <v>108</v>
      </c>
      <c r="B69" s="13" t="s">
        <v>79</v>
      </c>
    </row>
    <row r="70" spans="1:18" x14ac:dyDescent="0.25">
      <c r="A70" s="13" t="s">
        <v>162</v>
      </c>
      <c r="B70" s="69"/>
    </row>
    <row r="71" spans="1:18" x14ac:dyDescent="0.25">
      <c r="A71" s="4"/>
      <c r="B71" s="17" t="s">
        <v>123</v>
      </c>
      <c r="H71" s="1" t="s">
        <v>125</v>
      </c>
      <c r="I71" s="1" t="s">
        <v>144</v>
      </c>
      <c r="J71" t="s">
        <v>125</v>
      </c>
      <c r="K71" s="1" t="s">
        <v>151</v>
      </c>
      <c r="L71" s="13" t="s">
        <v>150</v>
      </c>
      <c r="N71" s="1" t="s">
        <v>126</v>
      </c>
      <c r="Q71" s="1" t="s">
        <v>76</v>
      </c>
      <c r="R71" t="s">
        <v>155</v>
      </c>
    </row>
    <row r="72" spans="1:18" x14ac:dyDescent="0.25">
      <c r="A72" s="35" t="s">
        <v>120</v>
      </c>
      <c r="B72" s="17"/>
      <c r="G72" t="s">
        <v>124</v>
      </c>
      <c r="I72">
        <f>(B72/50)*1.1</f>
        <v>0</v>
      </c>
      <c r="K72">
        <f t="shared" ref="K72" si="20">ROUNDUP(I72,0)</f>
        <v>0</v>
      </c>
      <c r="L72">
        <v>11.26</v>
      </c>
      <c r="N72">
        <f>K72*L72</f>
        <v>0</v>
      </c>
      <c r="P72" t="s">
        <v>156</v>
      </c>
      <c r="Q72">
        <v>1.25</v>
      </c>
      <c r="R72">
        <f>B72*Q72</f>
        <v>0</v>
      </c>
    </row>
    <row r="73" spans="1:18" x14ac:dyDescent="0.25">
      <c r="A73" s="4"/>
      <c r="B73" s="18"/>
    </row>
    <row r="74" spans="1:18" x14ac:dyDescent="0.25">
      <c r="A74" s="35" t="s">
        <v>142</v>
      </c>
      <c r="B74" s="17"/>
      <c r="G74" t="s">
        <v>141</v>
      </c>
      <c r="H74" t="s">
        <v>127</v>
      </c>
      <c r="I74">
        <f>(B74*0.4)/10</f>
        <v>0</v>
      </c>
      <c r="K74">
        <f t="shared" ref="K74" si="21">ROUNDUP(I74,0)</f>
        <v>0</v>
      </c>
      <c r="L74">
        <v>41.1</v>
      </c>
      <c r="N74">
        <f>K74*L74</f>
        <v>0</v>
      </c>
      <c r="P74" t="s">
        <v>157</v>
      </c>
      <c r="Q74">
        <v>0.72</v>
      </c>
      <c r="R74">
        <f t="shared" ref="R74:R83" si="22">B74*Q74</f>
        <v>0</v>
      </c>
    </row>
    <row r="75" spans="1:18" x14ac:dyDescent="0.25">
      <c r="A75" s="35" t="s">
        <v>143</v>
      </c>
      <c r="B75" s="17"/>
      <c r="P75" t="s">
        <v>157</v>
      </c>
      <c r="Q75">
        <v>0.72</v>
      </c>
      <c r="R75">
        <f t="shared" si="22"/>
        <v>0</v>
      </c>
    </row>
    <row r="76" spans="1:18" x14ac:dyDescent="0.25">
      <c r="A76" s="4"/>
      <c r="B76" s="18"/>
      <c r="R76">
        <f t="shared" si="22"/>
        <v>0</v>
      </c>
    </row>
    <row r="77" spans="1:18" x14ac:dyDescent="0.25">
      <c r="A77" s="35" t="s">
        <v>121</v>
      </c>
      <c r="B77" s="17"/>
      <c r="C77" s="25" t="s">
        <v>580</v>
      </c>
      <c r="G77" t="s">
        <v>128</v>
      </c>
      <c r="H77" t="s">
        <v>30</v>
      </c>
      <c r="I77">
        <f>(B77*1.2)/20</f>
        <v>0</v>
      </c>
      <c r="J77" t="s">
        <v>148</v>
      </c>
      <c r="K77">
        <f>ROUNDUP(I77,0)</f>
        <v>0</v>
      </c>
      <c r="L77">
        <v>11.9</v>
      </c>
      <c r="N77">
        <f>K77*L77</f>
        <v>0</v>
      </c>
      <c r="P77" t="s">
        <v>158</v>
      </c>
      <c r="Q77">
        <v>3.96</v>
      </c>
      <c r="R77">
        <f t="shared" si="22"/>
        <v>0</v>
      </c>
    </row>
    <row r="78" spans="1:18" x14ac:dyDescent="0.25">
      <c r="A78" s="4"/>
      <c r="B78" s="18"/>
      <c r="H78" t="s">
        <v>31</v>
      </c>
      <c r="I78">
        <f>(B77*1.2)/20</f>
        <v>0</v>
      </c>
      <c r="J78" t="s">
        <v>149</v>
      </c>
      <c r="K78">
        <f>ROUNDUP(I78,0)</f>
        <v>0</v>
      </c>
      <c r="L78">
        <v>13.12</v>
      </c>
      <c r="N78">
        <f>K78*L78</f>
        <v>0</v>
      </c>
      <c r="R78">
        <f t="shared" si="22"/>
        <v>0</v>
      </c>
    </row>
    <row r="79" spans="1:18" x14ac:dyDescent="0.25">
      <c r="A79" s="35" t="s">
        <v>139</v>
      </c>
      <c r="B79" s="17"/>
      <c r="P79" t="s">
        <v>159</v>
      </c>
      <c r="Q79">
        <v>28.98</v>
      </c>
      <c r="R79">
        <f t="shared" si="22"/>
        <v>0</v>
      </c>
    </row>
    <row r="80" spans="1:18" x14ac:dyDescent="0.25">
      <c r="A80" s="4"/>
      <c r="B80" s="18"/>
      <c r="G80" t="s">
        <v>129</v>
      </c>
      <c r="H80" t="s">
        <v>24</v>
      </c>
      <c r="I80">
        <f>(B75*0.4)/10</f>
        <v>0</v>
      </c>
      <c r="J80" t="s">
        <v>54</v>
      </c>
      <c r="K80">
        <f t="shared" ref="K80" si="23">ROUNDUP(I80,0)</f>
        <v>0</v>
      </c>
      <c r="L80">
        <v>25.73</v>
      </c>
      <c r="N80">
        <f>K80*L80</f>
        <v>0</v>
      </c>
      <c r="R80">
        <f t="shared" si="22"/>
        <v>0</v>
      </c>
    </row>
    <row r="81" spans="1:18" x14ac:dyDescent="0.25">
      <c r="A81" s="35" t="s">
        <v>122</v>
      </c>
      <c r="B81" s="17"/>
      <c r="P81" t="s">
        <v>160</v>
      </c>
      <c r="Q81">
        <v>3.06</v>
      </c>
      <c r="R81">
        <f t="shared" si="22"/>
        <v>0</v>
      </c>
    </row>
    <row r="82" spans="1:18" x14ac:dyDescent="0.25">
      <c r="A82" s="35" t="s">
        <v>137</v>
      </c>
      <c r="B82" s="17"/>
      <c r="G82" t="s">
        <v>140</v>
      </c>
      <c r="H82" t="s">
        <v>130</v>
      </c>
      <c r="I82">
        <f>(B79*12)/20</f>
        <v>0</v>
      </c>
      <c r="J82" t="s">
        <v>130</v>
      </c>
      <c r="K82">
        <f>ROUNDUP(I82,0)</f>
        <v>0</v>
      </c>
      <c r="L82">
        <v>15.07</v>
      </c>
      <c r="N82">
        <f>K82*L82</f>
        <v>0</v>
      </c>
      <c r="P82" t="s">
        <v>161</v>
      </c>
      <c r="Q82">
        <v>3.06</v>
      </c>
      <c r="R82">
        <f t="shared" si="22"/>
        <v>0</v>
      </c>
    </row>
    <row r="83" spans="1:18" x14ac:dyDescent="0.25">
      <c r="A83" s="35" t="s">
        <v>138</v>
      </c>
      <c r="B83" s="44"/>
      <c r="I83" s="4"/>
      <c r="K83" s="4"/>
      <c r="P83" t="s">
        <v>161</v>
      </c>
      <c r="Q83">
        <v>3.06</v>
      </c>
      <c r="R83">
        <f t="shared" si="22"/>
        <v>0</v>
      </c>
    </row>
    <row r="84" spans="1:18" x14ac:dyDescent="0.25">
      <c r="A84" s="4"/>
      <c r="B84" s="45"/>
      <c r="G84" t="s">
        <v>135</v>
      </c>
      <c r="H84" t="s">
        <v>131</v>
      </c>
      <c r="I84" s="33">
        <f>(B81*2*0.222222)/18</f>
        <v>0</v>
      </c>
      <c r="J84" s="33" t="s">
        <v>147</v>
      </c>
      <c r="K84" s="33">
        <f>ROUNDUP(I84,0)</f>
        <v>0</v>
      </c>
      <c r="L84" s="33">
        <v>51.58</v>
      </c>
      <c r="M84" s="33"/>
      <c r="N84">
        <f>K84*L84</f>
        <v>0</v>
      </c>
      <c r="R84">
        <f t="shared" ref="R84:R88" si="24">B84*Q84</f>
        <v>0</v>
      </c>
    </row>
    <row r="85" spans="1:18" x14ac:dyDescent="0.25">
      <c r="A85" s="31" t="s">
        <v>171</v>
      </c>
      <c r="B85" s="42"/>
      <c r="C85" s="43" t="s">
        <v>179</v>
      </c>
      <c r="D85" s="43" t="s">
        <v>79</v>
      </c>
      <c r="E85" s="43" t="s">
        <v>125</v>
      </c>
      <c r="F85" s="43" t="s">
        <v>178</v>
      </c>
      <c r="I85" s="33"/>
      <c r="J85" s="33"/>
      <c r="K85" s="33"/>
      <c r="L85" s="33"/>
      <c r="M85" s="33"/>
      <c r="R85">
        <f t="shared" si="24"/>
        <v>0</v>
      </c>
    </row>
    <row r="86" spans="1:18" x14ac:dyDescent="0.25">
      <c r="A86" s="40" t="s">
        <v>175</v>
      </c>
      <c r="B86" s="17"/>
      <c r="C86" s="47"/>
      <c r="D86" s="17"/>
      <c r="E86" s="46"/>
      <c r="F86" s="46" t="s">
        <v>180</v>
      </c>
      <c r="G86" t="s">
        <v>134</v>
      </c>
      <c r="H86" t="s">
        <v>132</v>
      </c>
      <c r="I86" s="33">
        <f>(B82*2*0.222222)/18</f>
        <v>0</v>
      </c>
      <c r="J86" s="33" t="s">
        <v>145</v>
      </c>
      <c r="K86" s="33">
        <f>ROUNDUP(I86,0)</f>
        <v>0</v>
      </c>
      <c r="L86" s="33">
        <v>74.099999999999994</v>
      </c>
      <c r="M86" s="33"/>
      <c r="N86">
        <f>K86*L86</f>
        <v>0</v>
      </c>
      <c r="R86">
        <f t="shared" si="24"/>
        <v>0</v>
      </c>
    </row>
    <row r="87" spans="1:18" x14ac:dyDescent="0.25">
      <c r="A87" s="40" t="s">
        <v>176</v>
      </c>
      <c r="B87" s="17"/>
      <c r="C87" s="47"/>
      <c r="D87" s="17"/>
      <c r="E87" s="46"/>
      <c r="F87" s="46" t="s">
        <v>180</v>
      </c>
      <c r="G87" t="s">
        <v>136</v>
      </c>
      <c r="H87" t="s">
        <v>133</v>
      </c>
      <c r="I87" s="33">
        <f>(B83*2*0.222222)/18</f>
        <v>0</v>
      </c>
      <c r="J87" s="33" t="s">
        <v>146</v>
      </c>
      <c r="K87" s="33">
        <f>ROUNDUP(I87,0)</f>
        <v>0</v>
      </c>
      <c r="L87" s="33">
        <v>149</v>
      </c>
      <c r="M87" s="33"/>
      <c r="N87">
        <f>K87*L87</f>
        <v>0</v>
      </c>
      <c r="R87">
        <f t="shared" si="24"/>
        <v>0</v>
      </c>
    </row>
    <row r="88" spans="1:18" x14ac:dyDescent="0.25">
      <c r="A88" s="40" t="s">
        <v>177</v>
      </c>
      <c r="B88" s="17"/>
      <c r="C88" s="47"/>
      <c r="D88" s="17"/>
      <c r="E88" s="46"/>
      <c r="F88" s="46" t="s">
        <v>180</v>
      </c>
      <c r="I88" s="33"/>
      <c r="J88" s="33"/>
      <c r="K88" s="33"/>
      <c r="L88" s="33"/>
      <c r="M88" s="33"/>
      <c r="R88">
        <f t="shared" si="24"/>
        <v>0</v>
      </c>
    </row>
    <row r="89" spans="1:18" x14ac:dyDescent="0.25">
      <c r="A89" s="4"/>
      <c r="B89" s="19"/>
      <c r="C89" s="43" t="s">
        <v>579</v>
      </c>
      <c r="G89" s="39" t="s">
        <v>172</v>
      </c>
      <c r="I89" s="32">
        <f>((B86*2)*0.22222)/F86</f>
        <v>0</v>
      </c>
      <c r="J89" s="39" t="s">
        <v>172</v>
      </c>
      <c r="K89" s="33">
        <f>ROUNDUP(I89,0)</f>
        <v>0</v>
      </c>
      <c r="L89" s="33">
        <f>C86</f>
        <v>0</v>
      </c>
      <c r="M89" s="33"/>
      <c r="N89">
        <f t="shared" ref="N89:N91" si="25">K89*L89</f>
        <v>0</v>
      </c>
      <c r="Q89">
        <v>3.06</v>
      </c>
      <c r="R89">
        <f>B86*Q89</f>
        <v>0</v>
      </c>
    </row>
    <row r="90" spans="1:18" x14ac:dyDescent="0.25">
      <c r="A90" s="17" t="s">
        <v>152</v>
      </c>
      <c r="B90" s="17"/>
      <c r="G90" s="39" t="s">
        <v>173</v>
      </c>
      <c r="I90" s="32">
        <f t="shared" ref="I90:I91" si="26">((B87*2)*0.22222)/F87</f>
        <v>0</v>
      </c>
      <c r="J90" s="39" t="s">
        <v>173</v>
      </c>
      <c r="K90" s="33">
        <f t="shared" ref="K90:K91" si="27">ROUNDUP(I90,0)</f>
        <v>0</v>
      </c>
      <c r="L90" s="33">
        <f t="shared" ref="L90:L91" si="28">C87</f>
        <v>0</v>
      </c>
      <c r="M90" s="33"/>
      <c r="N90">
        <f t="shared" si="25"/>
        <v>0</v>
      </c>
      <c r="Q90">
        <v>3.06</v>
      </c>
      <c r="R90">
        <f t="shared" ref="R90:R91" si="29">B87*Q90</f>
        <v>0</v>
      </c>
    </row>
    <row r="91" spans="1:18" x14ac:dyDescent="0.25">
      <c r="A91" s="4"/>
      <c r="B91" s="13"/>
      <c r="G91" s="39" t="s">
        <v>174</v>
      </c>
      <c r="I91" s="32">
        <f t="shared" si="26"/>
        <v>0</v>
      </c>
      <c r="J91" s="39" t="s">
        <v>174</v>
      </c>
      <c r="K91" s="33">
        <f t="shared" si="27"/>
        <v>0</v>
      </c>
      <c r="L91" s="33">
        <f t="shared" si="28"/>
        <v>0</v>
      </c>
      <c r="N91">
        <f t="shared" si="25"/>
        <v>0</v>
      </c>
      <c r="Q91">
        <v>3.06</v>
      </c>
      <c r="R91">
        <f t="shared" si="29"/>
        <v>0</v>
      </c>
    </row>
    <row r="92" spans="1:18" x14ac:dyDescent="0.25">
      <c r="A92" s="4"/>
      <c r="B92" s="4"/>
    </row>
    <row r="93" spans="1:18" x14ac:dyDescent="0.25">
      <c r="A93" s="4" t="s">
        <v>153</v>
      </c>
      <c r="B93" s="34">
        <f>N96/((100-B94)/100)</f>
        <v>0</v>
      </c>
    </row>
    <row r="94" spans="1:18" x14ac:dyDescent="0.25">
      <c r="A94" s="4" t="s">
        <v>67</v>
      </c>
      <c r="B94" s="13">
        <v>0</v>
      </c>
      <c r="C94" s="1"/>
      <c r="G94" t="s">
        <v>96</v>
      </c>
      <c r="N94">
        <f>B90</f>
        <v>0</v>
      </c>
    </row>
    <row r="95" spans="1:18" x14ac:dyDescent="0.25">
      <c r="A95" s="4"/>
      <c r="B95" s="4"/>
    </row>
    <row r="96" spans="1:18" x14ac:dyDescent="0.25">
      <c r="A96" s="4" t="s">
        <v>76</v>
      </c>
      <c r="B96" s="34">
        <f>R96*((100+B97)/100)</f>
        <v>0</v>
      </c>
      <c r="N96">
        <f>SUM(N72:N94)</f>
        <v>0</v>
      </c>
      <c r="R96">
        <f>SUM(R72:R95)</f>
        <v>0</v>
      </c>
    </row>
    <row r="97" spans="1:18" x14ac:dyDescent="0.25">
      <c r="A97" s="4" t="s">
        <v>154</v>
      </c>
      <c r="B97" s="13">
        <v>20</v>
      </c>
    </row>
    <row r="99" spans="1:18" x14ac:dyDescent="0.25">
      <c r="A99" s="22" t="s">
        <v>155</v>
      </c>
      <c r="B99" s="36">
        <f>B93+B96</f>
        <v>0</v>
      </c>
    </row>
    <row r="102" spans="1:18" x14ac:dyDescent="0.25">
      <c r="A102" s="13" t="s">
        <v>109</v>
      </c>
      <c r="B102" s="13" t="s">
        <v>79</v>
      </c>
    </row>
    <row r="103" spans="1:18" x14ac:dyDescent="0.25">
      <c r="A103" s="13" t="s">
        <v>162</v>
      </c>
      <c r="B103" s="69"/>
    </row>
    <row r="104" spans="1:18" x14ac:dyDescent="0.25">
      <c r="A104" s="4"/>
      <c r="B104" s="17" t="s">
        <v>123</v>
      </c>
      <c r="H104" s="1" t="s">
        <v>125</v>
      </c>
      <c r="I104" s="1" t="s">
        <v>144</v>
      </c>
      <c r="J104" t="s">
        <v>125</v>
      </c>
      <c r="K104" s="1" t="s">
        <v>151</v>
      </c>
      <c r="L104" s="13" t="s">
        <v>150</v>
      </c>
      <c r="N104" s="1" t="s">
        <v>126</v>
      </c>
      <c r="Q104" s="1" t="s">
        <v>76</v>
      </c>
      <c r="R104" t="s">
        <v>155</v>
      </c>
    </row>
    <row r="105" spans="1:18" x14ac:dyDescent="0.25">
      <c r="A105" s="35" t="s">
        <v>120</v>
      </c>
      <c r="B105" s="17"/>
      <c r="G105" t="s">
        <v>124</v>
      </c>
      <c r="I105">
        <f>(B105/50)*1.1</f>
        <v>0</v>
      </c>
      <c r="K105">
        <f t="shared" ref="K105" si="30">ROUNDUP(I105,0)</f>
        <v>0</v>
      </c>
      <c r="L105">
        <v>11.26</v>
      </c>
      <c r="N105">
        <f>K105*L105</f>
        <v>0</v>
      </c>
      <c r="P105" t="s">
        <v>156</v>
      </c>
      <c r="Q105">
        <v>1.25</v>
      </c>
      <c r="R105">
        <f>B105*Q105</f>
        <v>0</v>
      </c>
    </row>
    <row r="106" spans="1:18" x14ac:dyDescent="0.25">
      <c r="A106" s="4"/>
      <c r="B106" s="18"/>
    </row>
    <row r="107" spans="1:18" x14ac:dyDescent="0.25">
      <c r="A107" s="35" t="s">
        <v>142</v>
      </c>
      <c r="B107" s="17"/>
      <c r="G107" t="s">
        <v>141</v>
      </c>
      <c r="H107" t="s">
        <v>127</v>
      </c>
      <c r="I107">
        <f>(B107*0.4)/10</f>
        <v>0</v>
      </c>
      <c r="K107">
        <f t="shared" ref="K107" si="31">ROUNDUP(I107,0)</f>
        <v>0</v>
      </c>
      <c r="L107">
        <v>41.1</v>
      </c>
      <c r="N107">
        <f>K107*L107</f>
        <v>0</v>
      </c>
      <c r="P107" t="s">
        <v>157</v>
      </c>
      <c r="Q107">
        <v>0.72</v>
      </c>
      <c r="R107">
        <f t="shared" ref="R107:R116" si="32">B107*Q107</f>
        <v>0</v>
      </c>
    </row>
    <row r="108" spans="1:18" x14ac:dyDescent="0.25">
      <c r="A108" s="35" t="s">
        <v>143</v>
      </c>
      <c r="B108" s="17"/>
      <c r="P108" t="s">
        <v>157</v>
      </c>
      <c r="Q108">
        <v>0.72</v>
      </c>
      <c r="R108">
        <f t="shared" si="32"/>
        <v>0</v>
      </c>
    </row>
    <row r="109" spans="1:18" x14ac:dyDescent="0.25">
      <c r="A109" s="4"/>
      <c r="B109" s="18"/>
      <c r="R109">
        <f t="shared" si="32"/>
        <v>0</v>
      </c>
    </row>
    <row r="110" spans="1:18" x14ac:dyDescent="0.25">
      <c r="A110" s="35" t="s">
        <v>121</v>
      </c>
      <c r="B110" s="17"/>
      <c r="C110" s="25" t="s">
        <v>580</v>
      </c>
      <c r="G110" t="s">
        <v>128</v>
      </c>
      <c r="H110" t="s">
        <v>30</v>
      </c>
      <c r="I110">
        <f>(B110*1.2)/20</f>
        <v>0</v>
      </c>
      <c r="J110" t="s">
        <v>148</v>
      </c>
      <c r="K110">
        <f>ROUNDUP(I110,0)</f>
        <v>0</v>
      </c>
      <c r="L110">
        <v>11.9</v>
      </c>
      <c r="N110">
        <f>K110*L110</f>
        <v>0</v>
      </c>
      <c r="P110" t="s">
        <v>158</v>
      </c>
      <c r="Q110">
        <v>3.96</v>
      </c>
      <c r="R110">
        <f t="shared" si="32"/>
        <v>0</v>
      </c>
    </row>
    <row r="111" spans="1:18" x14ac:dyDescent="0.25">
      <c r="A111" s="4"/>
      <c r="B111" s="18"/>
      <c r="H111" t="s">
        <v>31</v>
      </c>
      <c r="I111">
        <f>(B110*1.2)/20</f>
        <v>0</v>
      </c>
      <c r="J111" t="s">
        <v>149</v>
      </c>
      <c r="K111">
        <f>ROUNDUP(I111,0)</f>
        <v>0</v>
      </c>
      <c r="L111">
        <v>13.12</v>
      </c>
      <c r="N111">
        <f>K111*L111</f>
        <v>0</v>
      </c>
      <c r="R111">
        <f t="shared" si="32"/>
        <v>0</v>
      </c>
    </row>
    <row r="112" spans="1:18" x14ac:dyDescent="0.25">
      <c r="A112" s="35" t="s">
        <v>139</v>
      </c>
      <c r="B112" s="17"/>
      <c r="P112" t="s">
        <v>159</v>
      </c>
      <c r="Q112">
        <v>28.98</v>
      </c>
      <c r="R112">
        <f t="shared" si="32"/>
        <v>0</v>
      </c>
    </row>
    <row r="113" spans="1:18" x14ac:dyDescent="0.25">
      <c r="A113" s="4"/>
      <c r="B113" s="18"/>
      <c r="G113" t="s">
        <v>129</v>
      </c>
      <c r="H113" t="s">
        <v>24</v>
      </c>
      <c r="I113">
        <f>(B108*0.4)/10</f>
        <v>0</v>
      </c>
      <c r="J113" t="s">
        <v>54</v>
      </c>
      <c r="K113">
        <f t="shared" ref="K113" si="33">ROUNDUP(I113,0)</f>
        <v>0</v>
      </c>
      <c r="L113">
        <v>25.73</v>
      </c>
      <c r="N113">
        <f>K113*L113</f>
        <v>0</v>
      </c>
      <c r="R113">
        <f t="shared" si="32"/>
        <v>0</v>
      </c>
    </row>
    <row r="114" spans="1:18" x14ac:dyDescent="0.25">
      <c r="A114" s="35" t="s">
        <v>122</v>
      </c>
      <c r="B114" s="17"/>
      <c r="P114" t="s">
        <v>160</v>
      </c>
      <c r="Q114">
        <v>3.06</v>
      </c>
      <c r="R114">
        <f t="shared" si="32"/>
        <v>0</v>
      </c>
    </row>
    <row r="115" spans="1:18" x14ac:dyDescent="0.25">
      <c r="A115" s="35" t="s">
        <v>137</v>
      </c>
      <c r="B115" s="17"/>
      <c r="G115" t="s">
        <v>140</v>
      </c>
      <c r="H115" t="s">
        <v>130</v>
      </c>
      <c r="I115">
        <f>(B112*12)/20</f>
        <v>0</v>
      </c>
      <c r="J115" t="s">
        <v>130</v>
      </c>
      <c r="K115">
        <f>ROUNDUP(I115,0)</f>
        <v>0</v>
      </c>
      <c r="L115">
        <v>15.07</v>
      </c>
      <c r="N115">
        <f>K115*L115</f>
        <v>0</v>
      </c>
      <c r="P115" t="s">
        <v>161</v>
      </c>
      <c r="Q115">
        <v>3.06</v>
      </c>
      <c r="R115">
        <f t="shared" si="32"/>
        <v>0</v>
      </c>
    </row>
    <row r="116" spans="1:18" x14ac:dyDescent="0.25">
      <c r="A116" s="35" t="s">
        <v>138</v>
      </c>
      <c r="B116" s="44"/>
      <c r="I116" s="4"/>
      <c r="K116" s="4"/>
      <c r="P116" t="s">
        <v>161</v>
      </c>
      <c r="Q116">
        <v>3.06</v>
      </c>
      <c r="R116">
        <f t="shared" si="32"/>
        <v>0</v>
      </c>
    </row>
    <row r="117" spans="1:18" x14ac:dyDescent="0.25">
      <c r="A117" s="4"/>
      <c r="B117" s="45"/>
      <c r="G117" t="s">
        <v>135</v>
      </c>
      <c r="H117" t="s">
        <v>131</v>
      </c>
      <c r="I117" s="33">
        <f>(B114*2*0.222222)/18</f>
        <v>0</v>
      </c>
      <c r="J117" s="33" t="s">
        <v>147</v>
      </c>
      <c r="K117" s="33">
        <f>ROUNDUP(I117,0)</f>
        <v>0</v>
      </c>
      <c r="L117" s="33">
        <v>51.58</v>
      </c>
      <c r="M117" s="33"/>
      <c r="N117">
        <f>K117*L117</f>
        <v>0</v>
      </c>
      <c r="R117">
        <f t="shared" ref="R117:R121" si="34">B117*Q117</f>
        <v>0</v>
      </c>
    </row>
    <row r="118" spans="1:18" x14ac:dyDescent="0.25">
      <c r="A118" s="31" t="s">
        <v>171</v>
      </c>
      <c r="B118" s="42"/>
      <c r="C118" s="43" t="s">
        <v>179</v>
      </c>
      <c r="D118" s="43" t="s">
        <v>79</v>
      </c>
      <c r="E118" s="43" t="s">
        <v>125</v>
      </c>
      <c r="F118" s="43" t="s">
        <v>178</v>
      </c>
      <c r="I118" s="33"/>
      <c r="J118" s="33"/>
      <c r="K118" s="33"/>
      <c r="L118" s="33"/>
      <c r="M118" s="33"/>
      <c r="R118">
        <f t="shared" si="34"/>
        <v>0</v>
      </c>
    </row>
    <row r="119" spans="1:18" x14ac:dyDescent="0.25">
      <c r="A119" s="40" t="s">
        <v>175</v>
      </c>
      <c r="B119" s="17"/>
      <c r="C119" s="47"/>
      <c r="D119" s="17"/>
      <c r="E119" s="46"/>
      <c r="F119" s="46" t="s">
        <v>180</v>
      </c>
      <c r="G119" t="s">
        <v>134</v>
      </c>
      <c r="H119" t="s">
        <v>132</v>
      </c>
      <c r="I119" s="33">
        <f>(B115*2*0.222222)/18</f>
        <v>0</v>
      </c>
      <c r="J119" s="33" t="s">
        <v>145</v>
      </c>
      <c r="K119" s="33">
        <f>ROUNDUP(I119,0)</f>
        <v>0</v>
      </c>
      <c r="L119" s="33">
        <v>74.099999999999994</v>
      </c>
      <c r="M119" s="33"/>
      <c r="N119">
        <f>K119*L119</f>
        <v>0</v>
      </c>
      <c r="R119">
        <f t="shared" si="34"/>
        <v>0</v>
      </c>
    </row>
    <row r="120" spans="1:18" x14ac:dyDescent="0.25">
      <c r="A120" s="40" t="s">
        <v>176</v>
      </c>
      <c r="B120" s="17"/>
      <c r="C120" s="47"/>
      <c r="D120" s="17"/>
      <c r="E120" s="46"/>
      <c r="F120" s="46" t="s">
        <v>180</v>
      </c>
      <c r="G120" t="s">
        <v>136</v>
      </c>
      <c r="H120" t="s">
        <v>133</v>
      </c>
      <c r="I120" s="33">
        <f>(B116*2*0.222222)/18</f>
        <v>0</v>
      </c>
      <c r="J120" s="33" t="s">
        <v>146</v>
      </c>
      <c r="K120" s="33">
        <f>ROUNDUP(I120,0)</f>
        <v>0</v>
      </c>
      <c r="L120" s="33">
        <v>149</v>
      </c>
      <c r="M120" s="33"/>
      <c r="N120">
        <f>K120*L120</f>
        <v>0</v>
      </c>
      <c r="R120">
        <f t="shared" si="34"/>
        <v>0</v>
      </c>
    </row>
    <row r="121" spans="1:18" x14ac:dyDescent="0.25">
      <c r="A121" s="40" t="s">
        <v>177</v>
      </c>
      <c r="B121" s="17"/>
      <c r="C121" s="47"/>
      <c r="D121" s="17"/>
      <c r="E121" s="46"/>
      <c r="F121" s="46" t="s">
        <v>180</v>
      </c>
      <c r="I121" s="33"/>
      <c r="J121" s="33"/>
      <c r="K121" s="33"/>
      <c r="L121" s="33"/>
      <c r="M121" s="33"/>
      <c r="R121">
        <f t="shared" si="34"/>
        <v>0</v>
      </c>
    </row>
    <row r="122" spans="1:18" x14ac:dyDescent="0.25">
      <c r="A122" s="4"/>
      <c r="B122" s="19"/>
      <c r="C122" s="43" t="s">
        <v>579</v>
      </c>
      <c r="G122" s="39" t="s">
        <v>172</v>
      </c>
      <c r="I122" s="32">
        <f>((B119*2)*0.22222)/F119</f>
        <v>0</v>
      </c>
      <c r="J122" s="39" t="s">
        <v>172</v>
      </c>
      <c r="K122" s="33">
        <f>ROUNDUP(I122,0)</f>
        <v>0</v>
      </c>
      <c r="L122" s="33">
        <f>C119</f>
        <v>0</v>
      </c>
      <c r="M122" s="33"/>
      <c r="N122">
        <f t="shared" ref="N122:N124" si="35">K122*L122</f>
        <v>0</v>
      </c>
      <c r="Q122">
        <v>3.06</v>
      </c>
      <c r="R122">
        <f>B119*Q122</f>
        <v>0</v>
      </c>
    </row>
    <row r="123" spans="1:18" x14ac:dyDescent="0.25">
      <c r="A123" s="17" t="s">
        <v>152</v>
      </c>
      <c r="B123" s="17"/>
      <c r="G123" s="39" t="s">
        <v>173</v>
      </c>
      <c r="I123" s="32">
        <f t="shared" ref="I123:I124" si="36">((B120*2)*0.22222)/F120</f>
        <v>0</v>
      </c>
      <c r="J123" s="39" t="s">
        <v>173</v>
      </c>
      <c r="K123" s="33">
        <f t="shared" ref="K123:K124" si="37">ROUNDUP(I123,0)</f>
        <v>0</v>
      </c>
      <c r="L123" s="33">
        <f t="shared" ref="L123:L124" si="38">C120</f>
        <v>0</v>
      </c>
      <c r="M123" s="33"/>
      <c r="N123">
        <f t="shared" si="35"/>
        <v>0</v>
      </c>
      <c r="Q123">
        <v>3.06</v>
      </c>
      <c r="R123">
        <f t="shared" ref="R123:R124" si="39">B120*Q123</f>
        <v>0</v>
      </c>
    </row>
    <row r="124" spans="1:18" x14ac:dyDescent="0.25">
      <c r="A124" s="4"/>
      <c r="B124" s="13"/>
      <c r="G124" s="39" t="s">
        <v>174</v>
      </c>
      <c r="I124" s="32">
        <f t="shared" si="36"/>
        <v>0</v>
      </c>
      <c r="J124" s="39" t="s">
        <v>174</v>
      </c>
      <c r="K124" s="33">
        <f t="shared" si="37"/>
        <v>0</v>
      </c>
      <c r="L124" s="33">
        <f t="shared" si="38"/>
        <v>0</v>
      </c>
      <c r="N124">
        <f t="shared" si="35"/>
        <v>0</v>
      </c>
      <c r="Q124">
        <v>3.06</v>
      </c>
      <c r="R124">
        <f t="shared" si="39"/>
        <v>0</v>
      </c>
    </row>
    <row r="125" spans="1:18" x14ac:dyDescent="0.25">
      <c r="A125" s="4"/>
      <c r="B125" s="4"/>
    </row>
    <row r="126" spans="1:18" x14ac:dyDescent="0.25">
      <c r="A126" s="4" t="s">
        <v>153</v>
      </c>
      <c r="B126" s="34">
        <f>N129/((100-B127)/100)</f>
        <v>0</v>
      </c>
    </row>
    <row r="127" spans="1:18" x14ac:dyDescent="0.25">
      <c r="A127" s="4" t="s">
        <v>67</v>
      </c>
      <c r="B127" s="13">
        <v>0</v>
      </c>
      <c r="C127" s="1"/>
      <c r="G127" t="s">
        <v>96</v>
      </c>
      <c r="N127">
        <f>B123</f>
        <v>0</v>
      </c>
    </row>
    <row r="128" spans="1:18" x14ac:dyDescent="0.25">
      <c r="A128" s="4"/>
      <c r="B128" s="4"/>
    </row>
    <row r="129" spans="1:18" x14ac:dyDescent="0.25">
      <c r="A129" s="4" t="s">
        <v>76</v>
      </c>
      <c r="B129" s="34">
        <f>R129*((100+B130)/100)</f>
        <v>0</v>
      </c>
      <c r="N129">
        <f>SUM(N105:N127)</f>
        <v>0</v>
      </c>
      <c r="R129">
        <f>SUM(R105:R128)</f>
        <v>0</v>
      </c>
    </row>
    <row r="130" spans="1:18" x14ac:dyDescent="0.25">
      <c r="A130" s="4" t="s">
        <v>154</v>
      </c>
      <c r="B130" s="13">
        <v>0</v>
      </c>
    </row>
    <row r="132" spans="1:18" x14ac:dyDescent="0.25">
      <c r="A132" s="22" t="s">
        <v>155</v>
      </c>
      <c r="B132" s="36">
        <f>B126+B129</f>
        <v>0</v>
      </c>
    </row>
    <row r="135" spans="1:18" x14ac:dyDescent="0.25">
      <c r="A135" s="13" t="s">
        <v>110</v>
      </c>
      <c r="B135" s="13" t="s">
        <v>79</v>
      </c>
    </row>
    <row r="136" spans="1:18" x14ac:dyDescent="0.25">
      <c r="A136" s="13" t="s">
        <v>162</v>
      </c>
      <c r="B136" s="4"/>
    </row>
    <row r="137" spans="1:18" x14ac:dyDescent="0.25">
      <c r="A137" s="4"/>
      <c r="B137" s="17" t="s">
        <v>123</v>
      </c>
      <c r="H137" s="1" t="s">
        <v>125</v>
      </c>
      <c r="I137" s="1" t="s">
        <v>144</v>
      </c>
      <c r="J137" t="s">
        <v>125</v>
      </c>
      <c r="K137" s="1" t="s">
        <v>151</v>
      </c>
      <c r="L137" s="13" t="s">
        <v>150</v>
      </c>
      <c r="N137" s="1" t="s">
        <v>126</v>
      </c>
      <c r="Q137" s="1" t="s">
        <v>76</v>
      </c>
      <c r="R137" t="s">
        <v>155</v>
      </c>
    </row>
    <row r="138" spans="1:18" x14ac:dyDescent="0.25">
      <c r="A138" s="35" t="s">
        <v>120</v>
      </c>
      <c r="B138" s="17"/>
      <c r="G138" t="s">
        <v>124</v>
      </c>
      <c r="I138">
        <f>(B138/50)*1.1</f>
        <v>0</v>
      </c>
      <c r="K138">
        <f t="shared" ref="K138" si="40">ROUNDUP(I138,0)</f>
        <v>0</v>
      </c>
      <c r="L138">
        <v>11.26</v>
      </c>
      <c r="N138">
        <f>K138*L138</f>
        <v>0</v>
      </c>
      <c r="P138" t="s">
        <v>156</v>
      </c>
      <c r="Q138">
        <v>1.25</v>
      </c>
      <c r="R138">
        <f>B138*Q138</f>
        <v>0</v>
      </c>
    </row>
    <row r="139" spans="1:18" x14ac:dyDescent="0.25">
      <c r="A139" s="4"/>
      <c r="B139" s="18"/>
    </row>
    <row r="140" spans="1:18" x14ac:dyDescent="0.25">
      <c r="A140" s="35" t="s">
        <v>142</v>
      </c>
      <c r="B140" s="17"/>
      <c r="G140" t="s">
        <v>141</v>
      </c>
      <c r="H140" t="s">
        <v>127</v>
      </c>
      <c r="I140">
        <f>(B140*0.4)/10</f>
        <v>0</v>
      </c>
      <c r="K140">
        <f t="shared" ref="K140" si="41">ROUNDUP(I140,0)</f>
        <v>0</v>
      </c>
      <c r="L140">
        <v>41.1</v>
      </c>
      <c r="N140">
        <f>K140*L140</f>
        <v>0</v>
      </c>
      <c r="P140" t="s">
        <v>157</v>
      </c>
      <c r="Q140">
        <v>0.72</v>
      </c>
      <c r="R140">
        <f t="shared" ref="R140:R149" si="42">B140*Q140</f>
        <v>0</v>
      </c>
    </row>
    <row r="141" spans="1:18" x14ac:dyDescent="0.25">
      <c r="A141" s="35" t="s">
        <v>143</v>
      </c>
      <c r="B141" s="17"/>
      <c r="P141" t="s">
        <v>157</v>
      </c>
      <c r="Q141">
        <v>0.72</v>
      </c>
      <c r="R141">
        <f t="shared" si="42"/>
        <v>0</v>
      </c>
    </row>
    <row r="142" spans="1:18" x14ac:dyDescent="0.25">
      <c r="A142" s="4"/>
      <c r="B142" s="18"/>
      <c r="R142">
        <f t="shared" si="42"/>
        <v>0</v>
      </c>
    </row>
    <row r="143" spans="1:18" x14ac:dyDescent="0.25">
      <c r="A143" s="35" t="s">
        <v>121</v>
      </c>
      <c r="B143" s="17"/>
      <c r="C143" s="25" t="s">
        <v>580</v>
      </c>
      <c r="G143" t="s">
        <v>128</v>
      </c>
      <c r="H143" t="s">
        <v>30</v>
      </c>
      <c r="I143">
        <f>(B143*1.2)/20</f>
        <v>0</v>
      </c>
      <c r="J143" t="s">
        <v>148</v>
      </c>
      <c r="K143">
        <f>ROUNDUP(I143,0)</f>
        <v>0</v>
      </c>
      <c r="L143">
        <v>11.9</v>
      </c>
      <c r="N143">
        <f>K143*L143</f>
        <v>0</v>
      </c>
      <c r="P143" t="s">
        <v>158</v>
      </c>
      <c r="Q143">
        <v>3.96</v>
      </c>
      <c r="R143">
        <f t="shared" si="42"/>
        <v>0</v>
      </c>
    </row>
    <row r="144" spans="1:18" x14ac:dyDescent="0.25">
      <c r="A144" s="4"/>
      <c r="B144" s="18"/>
      <c r="H144" t="s">
        <v>31</v>
      </c>
      <c r="I144">
        <f>(B143*1.2)/20</f>
        <v>0</v>
      </c>
      <c r="J144" t="s">
        <v>149</v>
      </c>
      <c r="K144">
        <f>ROUNDUP(I144,0)</f>
        <v>0</v>
      </c>
      <c r="L144">
        <v>13.12</v>
      </c>
      <c r="N144">
        <f>K144*L144</f>
        <v>0</v>
      </c>
      <c r="R144">
        <f t="shared" si="42"/>
        <v>0</v>
      </c>
    </row>
    <row r="145" spans="1:18" x14ac:dyDescent="0.25">
      <c r="A145" s="35" t="s">
        <v>139</v>
      </c>
      <c r="B145" s="17"/>
      <c r="P145" t="s">
        <v>159</v>
      </c>
      <c r="Q145">
        <v>28.98</v>
      </c>
      <c r="R145">
        <f t="shared" si="42"/>
        <v>0</v>
      </c>
    </row>
    <row r="146" spans="1:18" x14ac:dyDescent="0.25">
      <c r="A146" s="4"/>
      <c r="B146" s="18"/>
      <c r="G146" t="s">
        <v>129</v>
      </c>
      <c r="H146" t="s">
        <v>24</v>
      </c>
      <c r="I146">
        <f>(B141*0.4)/10</f>
        <v>0</v>
      </c>
      <c r="J146" t="s">
        <v>54</v>
      </c>
      <c r="K146">
        <f t="shared" ref="K146" si="43">ROUNDUP(I146,0)</f>
        <v>0</v>
      </c>
      <c r="L146">
        <v>25.73</v>
      </c>
      <c r="N146">
        <f>K146*L146</f>
        <v>0</v>
      </c>
      <c r="R146">
        <f t="shared" si="42"/>
        <v>0</v>
      </c>
    </row>
    <row r="147" spans="1:18" x14ac:dyDescent="0.25">
      <c r="A147" s="35" t="s">
        <v>122</v>
      </c>
      <c r="B147" s="17"/>
      <c r="P147" t="s">
        <v>160</v>
      </c>
      <c r="Q147">
        <v>3.06</v>
      </c>
      <c r="R147">
        <f t="shared" si="42"/>
        <v>0</v>
      </c>
    </row>
    <row r="148" spans="1:18" x14ac:dyDescent="0.25">
      <c r="A148" s="35" t="s">
        <v>137</v>
      </c>
      <c r="B148" s="17"/>
      <c r="G148" t="s">
        <v>140</v>
      </c>
      <c r="H148" t="s">
        <v>130</v>
      </c>
      <c r="I148">
        <f>(B145*12)/20</f>
        <v>0</v>
      </c>
      <c r="J148" t="s">
        <v>130</v>
      </c>
      <c r="K148">
        <f>ROUNDUP(I148,0)</f>
        <v>0</v>
      </c>
      <c r="L148">
        <v>15.07</v>
      </c>
      <c r="N148">
        <f>K148*L148</f>
        <v>0</v>
      </c>
      <c r="P148" t="s">
        <v>161</v>
      </c>
      <c r="Q148">
        <v>3.06</v>
      </c>
      <c r="R148">
        <f t="shared" si="42"/>
        <v>0</v>
      </c>
    </row>
    <row r="149" spans="1:18" x14ac:dyDescent="0.25">
      <c r="A149" s="35" t="s">
        <v>138</v>
      </c>
      <c r="B149" s="44"/>
      <c r="I149" s="4"/>
      <c r="K149" s="4"/>
      <c r="P149" t="s">
        <v>161</v>
      </c>
      <c r="Q149">
        <v>3.06</v>
      </c>
      <c r="R149">
        <f t="shared" si="42"/>
        <v>0</v>
      </c>
    </row>
    <row r="150" spans="1:18" x14ac:dyDescent="0.25">
      <c r="A150" s="4"/>
      <c r="B150" s="45"/>
      <c r="G150" t="s">
        <v>135</v>
      </c>
      <c r="H150" t="s">
        <v>131</v>
      </c>
      <c r="I150" s="33">
        <f>(B147*2*0.222222)/18</f>
        <v>0</v>
      </c>
      <c r="J150" s="33" t="s">
        <v>147</v>
      </c>
      <c r="K150" s="33">
        <f>ROUNDUP(I150,0)</f>
        <v>0</v>
      </c>
      <c r="L150" s="33">
        <v>51.58</v>
      </c>
      <c r="M150" s="33"/>
      <c r="N150">
        <f>K150*L150</f>
        <v>0</v>
      </c>
      <c r="R150">
        <f t="shared" ref="R150:R154" si="44">B150*Q150</f>
        <v>0</v>
      </c>
    </row>
    <row r="151" spans="1:18" x14ac:dyDescent="0.25">
      <c r="A151" s="31" t="s">
        <v>171</v>
      </c>
      <c r="B151" s="42"/>
      <c r="C151" s="43" t="s">
        <v>179</v>
      </c>
      <c r="D151" s="43" t="s">
        <v>79</v>
      </c>
      <c r="E151" s="43" t="s">
        <v>125</v>
      </c>
      <c r="F151" s="43" t="s">
        <v>178</v>
      </c>
      <c r="I151" s="33"/>
      <c r="J151" s="33"/>
      <c r="K151" s="33"/>
      <c r="L151" s="33"/>
      <c r="M151" s="33"/>
      <c r="R151">
        <f t="shared" si="44"/>
        <v>0</v>
      </c>
    </row>
    <row r="152" spans="1:18" x14ac:dyDescent="0.25">
      <c r="A152" s="40" t="s">
        <v>175</v>
      </c>
      <c r="B152" s="17"/>
      <c r="C152" s="47"/>
      <c r="D152" s="17"/>
      <c r="E152" s="46"/>
      <c r="F152" s="46" t="s">
        <v>180</v>
      </c>
      <c r="G152" t="s">
        <v>134</v>
      </c>
      <c r="H152" t="s">
        <v>132</v>
      </c>
      <c r="I152" s="33">
        <f>(B148*2*0.222222)/18</f>
        <v>0</v>
      </c>
      <c r="J152" s="33" t="s">
        <v>145</v>
      </c>
      <c r="K152" s="33">
        <f>ROUNDUP(I152,0)</f>
        <v>0</v>
      </c>
      <c r="L152" s="33">
        <v>74.099999999999994</v>
      </c>
      <c r="M152" s="33"/>
      <c r="N152">
        <f>K152*L152</f>
        <v>0</v>
      </c>
      <c r="R152">
        <f t="shared" si="44"/>
        <v>0</v>
      </c>
    </row>
    <row r="153" spans="1:18" x14ac:dyDescent="0.25">
      <c r="A153" s="40" t="s">
        <v>176</v>
      </c>
      <c r="B153" s="17"/>
      <c r="C153" s="47"/>
      <c r="D153" s="17"/>
      <c r="E153" s="46"/>
      <c r="F153" s="46" t="s">
        <v>180</v>
      </c>
      <c r="G153" t="s">
        <v>136</v>
      </c>
      <c r="H153" t="s">
        <v>133</v>
      </c>
      <c r="I153" s="33">
        <f>(B149*2*0.222222)/18</f>
        <v>0</v>
      </c>
      <c r="J153" s="33" t="s">
        <v>146</v>
      </c>
      <c r="K153" s="33">
        <f>ROUNDUP(I153,0)</f>
        <v>0</v>
      </c>
      <c r="L153" s="33">
        <v>149</v>
      </c>
      <c r="M153" s="33"/>
      <c r="N153">
        <f>K153*L153</f>
        <v>0</v>
      </c>
      <c r="R153">
        <f t="shared" si="44"/>
        <v>0</v>
      </c>
    </row>
    <row r="154" spans="1:18" x14ac:dyDescent="0.25">
      <c r="A154" s="40" t="s">
        <v>177</v>
      </c>
      <c r="B154" s="17"/>
      <c r="C154" s="47"/>
      <c r="D154" s="17"/>
      <c r="E154" s="46"/>
      <c r="F154" s="46" t="s">
        <v>180</v>
      </c>
      <c r="I154" s="33"/>
      <c r="J154" s="33"/>
      <c r="K154" s="33"/>
      <c r="L154" s="33"/>
      <c r="M154" s="33"/>
      <c r="R154">
        <f t="shared" si="44"/>
        <v>0</v>
      </c>
    </row>
    <row r="155" spans="1:18" x14ac:dyDescent="0.25">
      <c r="A155" s="4"/>
      <c r="B155" s="19"/>
      <c r="C155" s="43" t="s">
        <v>579</v>
      </c>
      <c r="G155" s="39" t="s">
        <v>172</v>
      </c>
      <c r="I155" s="32">
        <f>((B152*2)*0.22222)/F152</f>
        <v>0</v>
      </c>
      <c r="J155" s="39" t="s">
        <v>172</v>
      </c>
      <c r="K155" s="33">
        <f>ROUNDUP(I155,0)</f>
        <v>0</v>
      </c>
      <c r="L155" s="33">
        <f>C152</f>
        <v>0</v>
      </c>
      <c r="M155" s="33"/>
      <c r="N155">
        <f t="shared" ref="N155:N157" si="45">K155*L155</f>
        <v>0</v>
      </c>
      <c r="Q155">
        <v>3.06</v>
      </c>
      <c r="R155">
        <f>B152*Q155</f>
        <v>0</v>
      </c>
    </row>
    <row r="156" spans="1:18" x14ac:dyDescent="0.25">
      <c r="A156" s="17" t="s">
        <v>152</v>
      </c>
      <c r="B156" s="17"/>
      <c r="G156" s="39" t="s">
        <v>173</v>
      </c>
      <c r="I156" s="32">
        <f t="shared" ref="I156:I157" si="46">((B153*2)*0.22222)/F153</f>
        <v>0</v>
      </c>
      <c r="J156" s="39" t="s">
        <v>173</v>
      </c>
      <c r="K156" s="33">
        <f t="shared" ref="K156:K157" si="47">ROUNDUP(I156,0)</f>
        <v>0</v>
      </c>
      <c r="L156" s="33">
        <f t="shared" ref="L156:L157" si="48">C153</f>
        <v>0</v>
      </c>
      <c r="M156" s="33"/>
      <c r="N156">
        <f t="shared" si="45"/>
        <v>0</v>
      </c>
      <c r="Q156">
        <v>3.06</v>
      </c>
      <c r="R156">
        <f t="shared" ref="R156:R157" si="49">B153*Q156</f>
        <v>0</v>
      </c>
    </row>
    <row r="157" spans="1:18" x14ac:dyDescent="0.25">
      <c r="A157" s="4"/>
      <c r="B157" s="13"/>
      <c r="G157" s="39" t="s">
        <v>174</v>
      </c>
      <c r="I157" s="32">
        <f t="shared" si="46"/>
        <v>0</v>
      </c>
      <c r="J157" s="39" t="s">
        <v>174</v>
      </c>
      <c r="K157" s="33">
        <f t="shared" si="47"/>
        <v>0</v>
      </c>
      <c r="L157" s="33">
        <f t="shared" si="48"/>
        <v>0</v>
      </c>
      <c r="N157">
        <f t="shared" si="45"/>
        <v>0</v>
      </c>
      <c r="Q157">
        <v>3.06</v>
      </c>
      <c r="R157">
        <f t="shared" si="49"/>
        <v>0</v>
      </c>
    </row>
    <row r="158" spans="1:18" x14ac:dyDescent="0.25">
      <c r="A158" s="4"/>
      <c r="B158" s="4"/>
    </row>
    <row r="159" spans="1:18" x14ac:dyDescent="0.25">
      <c r="A159" s="4" t="s">
        <v>153</v>
      </c>
      <c r="B159" s="34">
        <f>N162/((100-B160)/100)</f>
        <v>0</v>
      </c>
    </row>
    <row r="160" spans="1:18" x14ac:dyDescent="0.25">
      <c r="A160" s="4" t="s">
        <v>67</v>
      </c>
      <c r="B160" s="13">
        <v>0</v>
      </c>
      <c r="C160" s="1"/>
      <c r="G160" t="s">
        <v>96</v>
      </c>
      <c r="N160">
        <f>B156</f>
        <v>0</v>
      </c>
    </row>
    <row r="161" spans="1:18" x14ac:dyDescent="0.25">
      <c r="A161" s="4"/>
      <c r="B161" s="4"/>
    </row>
    <row r="162" spans="1:18" x14ac:dyDescent="0.25">
      <c r="A162" s="4" t="s">
        <v>76</v>
      </c>
      <c r="B162" s="34">
        <f>R162*((100+B163)/100)</f>
        <v>0</v>
      </c>
      <c r="N162">
        <f>SUM(N138:N160)</f>
        <v>0</v>
      </c>
      <c r="R162">
        <f>SUM(R138:R161)</f>
        <v>0</v>
      </c>
    </row>
    <row r="163" spans="1:18" x14ac:dyDescent="0.25">
      <c r="A163" s="4" t="s">
        <v>154</v>
      </c>
      <c r="B163" s="13">
        <v>0</v>
      </c>
    </row>
    <row r="165" spans="1:18" x14ac:dyDescent="0.25">
      <c r="A165" s="22" t="s">
        <v>155</v>
      </c>
      <c r="B165" s="36">
        <f>B159+B162</f>
        <v>0</v>
      </c>
    </row>
    <row r="168" spans="1:18" x14ac:dyDescent="0.25">
      <c r="A168" s="13" t="s">
        <v>111</v>
      </c>
      <c r="B168" s="13" t="s">
        <v>79</v>
      </c>
    </row>
    <row r="169" spans="1:18" x14ac:dyDescent="0.25">
      <c r="A169" s="13" t="s">
        <v>162</v>
      </c>
      <c r="B169" s="4"/>
    </row>
    <row r="170" spans="1:18" x14ac:dyDescent="0.25">
      <c r="A170" s="4"/>
      <c r="B170" s="17" t="s">
        <v>123</v>
      </c>
      <c r="H170" s="1" t="s">
        <v>125</v>
      </c>
      <c r="I170" s="1" t="s">
        <v>144</v>
      </c>
      <c r="J170" t="s">
        <v>125</v>
      </c>
      <c r="K170" s="1" t="s">
        <v>151</v>
      </c>
      <c r="L170" s="13" t="s">
        <v>150</v>
      </c>
      <c r="N170" s="1" t="s">
        <v>126</v>
      </c>
      <c r="Q170" s="1" t="s">
        <v>76</v>
      </c>
      <c r="R170" t="s">
        <v>155</v>
      </c>
    </row>
    <row r="171" spans="1:18" x14ac:dyDescent="0.25">
      <c r="A171" s="35" t="s">
        <v>120</v>
      </c>
      <c r="B171" s="17"/>
      <c r="G171" t="s">
        <v>124</v>
      </c>
      <c r="I171">
        <f>(B171/50)*1.1</f>
        <v>0</v>
      </c>
      <c r="K171">
        <f t="shared" ref="K171" si="50">ROUNDUP(I171,0)</f>
        <v>0</v>
      </c>
      <c r="L171">
        <v>11.26</v>
      </c>
      <c r="N171">
        <f>K171*L171</f>
        <v>0</v>
      </c>
      <c r="P171" t="s">
        <v>156</v>
      </c>
      <c r="Q171">
        <v>1.25</v>
      </c>
      <c r="R171">
        <f>B171*Q171</f>
        <v>0</v>
      </c>
    </row>
    <row r="172" spans="1:18" x14ac:dyDescent="0.25">
      <c r="A172" s="4"/>
      <c r="B172" s="18"/>
    </row>
    <row r="173" spans="1:18" x14ac:dyDescent="0.25">
      <c r="A173" s="35" t="s">
        <v>142</v>
      </c>
      <c r="B173" s="17"/>
      <c r="G173" t="s">
        <v>141</v>
      </c>
      <c r="H173" t="s">
        <v>127</v>
      </c>
      <c r="I173">
        <f>(B173*0.4)/10</f>
        <v>0</v>
      </c>
      <c r="K173">
        <f t="shared" ref="K173" si="51">ROUNDUP(I173,0)</f>
        <v>0</v>
      </c>
      <c r="L173">
        <v>41.1</v>
      </c>
      <c r="N173">
        <f>K173*L173</f>
        <v>0</v>
      </c>
      <c r="P173" t="s">
        <v>157</v>
      </c>
      <c r="Q173">
        <v>0.72</v>
      </c>
      <c r="R173">
        <f t="shared" ref="R173:R182" si="52">B173*Q173</f>
        <v>0</v>
      </c>
    </row>
    <row r="174" spans="1:18" x14ac:dyDescent="0.25">
      <c r="A174" s="35" t="s">
        <v>143</v>
      </c>
      <c r="B174" s="17"/>
      <c r="P174" t="s">
        <v>157</v>
      </c>
      <c r="Q174">
        <v>0.72</v>
      </c>
      <c r="R174">
        <f t="shared" si="52"/>
        <v>0</v>
      </c>
    </row>
    <row r="175" spans="1:18" x14ac:dyDescent="0.25">
      <c r="A175" s="4"/>
      <c r="B175" s="18"/>
      <c r="R175">
        <f t="shared" si="52"/>
        <v>0</v>
      </c>
    </row>
    <row r="176" spans="1:18" x14ac:dyDescent="0.25">
      <c r="A176" s="35" t="s">
        <v>121</v>
      </c>
      <c r="B176" s="17"/>
      <c r="C176" s="25" t="s">
        <v>580</v>
      </c>
      <c r="G176" t="s">
        <v>128</v>
      </c>
      <c r="H176" t="s">
        <v>30</v>
      </c>
      <c r="I176">
        <f>(B176*1.2)/20</f>
        <v>0</v>
      </c>
      <c r="J176" t="s">
        <v>148</v>
      </c>
      <c r="K176">
        <f>ROUNDUP(I176,0)</f>
        <v>0</v>
      </c>
      <c r="L176">
        <v>11.9</v>
      </c>
      <c r="N176">
        <f>K176*L176</f>
        <v>0</v>
      </c>
      <c r="P176" t="s">
        <v>158</v>
      </c>
      <c r="Q176">
        <v>3.96</v>
      </c>
      <c r="R176">
        <f t="shared" si="52"/>
        <v>0</v>
      </c>
    </row>
    <row r="177" spans="1:18" x14ac:dyDescent="0.25">
      <c r="A177" s="4"/>
      <c r="B177" s="18"/>
      <c r="H177" t="s">
        <v>31</v>
      </c>
      <c r="I177">
        <f>(B176*1.2)/20</f>
        <v>0</v>
      </c>
      <c r="J177" t="s">
        <v>149</v>
      </c>
      <c r="K177">
        <f>ROUNDUP(I177,0)</f>
        <v>0</v>
      </c>
      <c r="L177">
        <v>13.12</v>
      </c>
      <c r="N177">
        <f>K177*L177</f>
        <v>0</v>
      </c>
      <c r="R177">
        <f t="shared" si="52"/>
        <v>0</v>
      </c>
    </row>
    <row r="178" spans="1:18" x14ac:dyDescent="0.25">
      <c r="A178" s="35" t="s">
        <v>139</v>
      </c>
      <c r="B178" s="17"/>
      <c r="P178" t="s">
        <v>159</v>
      </c>
      <c r="Q178">
        <v>28.98</v>
      </c>
      <c r="R178">
        <f t="shared" si="52"/>
        <v>0</v>
      </c>
    </row>
    <row r="179" spans="1:18" x14ac:dyDescent="0.25">
      <c r="A179" s="4"/>
      <c r="B179" s="18"/>
      <c r="G179" t="s">
        <v>129</v>
      </c>
      <c r="H179" t="s">
        <v>24</v>
      </c>
      <c r="I179">
        <f>(B174*0.4)/10</f>
        <v>0</v>
      </c>
      <c r="J179" t="s">
        <v>54</v>
      </c>
      <c r="K179">
        <f t="shared" ref="K179" si="53">ROUNDUP(I179,0)</f>
        <v>0</v>
      </c>
      <c r="L179">
        <v>25.73</v>
      </c>
      <c r="N179">
        <f>K179*L179</f>
        <v>0</v>
      </c>
      <c r="R179">
        <f t="shared" si="52"/>
        <v>0</v>
      </c>
    </row>
    <row r="180" spans="1:18" x14ac:dyDescent="0.25">
      <c r="A180" s="35" t="s">
        <v>122</v>
      </c>
      <c r="B180" s="17"/>
      <c r="P180" t="s">
        <v>160</v>
      </c>
      <c r="Q180">
        <v>3.06</v>
      </c>
      <c r="R180">
        <f t="shared" si="52"/>
        <v>0</v>
      </c>
    </row>
    <row r="181" spans="1:18" x14ac:dyDescent="0.25">
      <c r="A181" s="35" t="s">
        <v>137</v>
      </c>
      <c r="B181" s="17"/>
      <c r="G181" t="s">
        <v>140</v>
      </c>
      <c r="H181" t="s">
        <v>130</v>
      </c>
      <c r="I181">
        <f>(B178*12)/20</f>
        <v>0</v>
      </c>
      <c r="J181" t="s">
        <v>130</v>
      </c>
      <c r="K181">
        <f>ROUNDUP(I181,0)</f>
        <v>0</v>
      </c>
      <c r="L181">
        <v>15.07</v>
      </c>
      <c r="N181">
        <f>K181*L181</f>
        <v>0</v>
      </c>
      <c r="P181" t="s">
        <v>161</v>
      </c>
      <c r="Q181">
        <v>3.06</v>
      </c>
      <c r="R181">
        <f t="shared" si="52"/>
        <v>0</v>
      </c>
    </row>
    <row r="182" spans="1:18" x14ac:dyDescent="0.25">
      <c r="A182" s="35" t="s">
        <v>138</v>
      </c>
      <c r="B182" s="44"/>
      <c r="I182" s="4"/>
      <c r="K182" s="4"/>
      <c r="P182" t="s">
        <v>161</v>
      </c>
      <c r="Q182">
        <v>3.06</v>
      </c>
      <c r="R182">
        <f t="shared" si="52"/>
        <v>0</v>
      </c>
    </row>
    <row r="183" spans="1:18" x14ac:dyDescent="0.25">
      <c r="A183" s="4"/>
      <c r="B183" s="45"/>
      <c r="G183" t="s">
        <v>135</v>
      </c>
      <c r="H183" t="s">
        <v>131</v>
      </c>
      <c r="I183" s="33">
        <f>(B180*2*0.222222)/18</f>
        <v>0</v>
      </c>
      <c r="J183" s="33" t="s">
        <v>147</v>
      </c>
      <c r="K183" s="33">
        <f>ROUNDUP(I183,0)</f>
        <v>0</v>
      </c>
      <c r="L183" s="33">
        <v>51.58</v>
      </c>
      <c r="M183" s="33"/>
      <c r="N183">
        <f>K183*L183</f>
        <v>0</v>
      </c>
      <c r="R183">
        <f t="shared" ref="R183:R187" si="54">B183*Q183</f>
        <v>0</v>
      </c>
    </row>
    <row r="184" spans="1:18" x14ac:dyDescent="0.25">
      <c r="A184" s="31" t="s">
        <v>171</v>
      </c>
      <c r="B184" s="42"/>
      <c r="C184" s="43" t="s">
        <v>179</v>
      </c>
      <c r="D184" s="43" t="s">
        <v>79</v>
      </c>
      <c r="E184" s="43" t="s">
        <v>125</v>
      </c>
      <c r="F184" s="43" t="s">
        <v>178</v>
      </c>
      <c r="I184" s="33"/>
      <c r="J184" s="33"/>
      <c r="K184" s="33"/>
      <c r="L184" s="33"/>
      <c r="M184" s="33"/>
      <c r="R184">
        <f t="shared" si="54"/>
        <v>0</v>
      </c>
    </row>
    <row r="185" spans="1:18" x14ac:dyDescent="0.25">
      <c r="A185" s="40" t="s">
        <v>175</v>
      </c>
      <c r="B185" s="17"/>
      <c r="C185" s="47"/>
      <c r="D185" s="17"/>
      <c r="E185" s="46"/>
      <c r="F185" s="46" t="s">
        <v>180</v>
      </c>
      <c r="G185" t="s">
        <v>134</v>
      </c>
      <c r="H185" t="s">
        <v>132</v>
      </c>
      <c r="I185" s="33">
        <f>(B181*2*0.222222)/18</f>
        <v>0</v>
      </c>
      <c r="J185" s="33" t="s">
        <v>145</v>
      </c>
      <c r="K185" s="33">
        <f>ROUNDUP(I185,0)</f>
        <v>0</v>
      </c>
      <c r="L185" s="33">
        <v>74.099999999999994</v>
      </c>
      <c r="M185" s="33"/>
      <c r="N185">
        <f>K185*L185</f>
        <v>0</v>
      </c>
      <c r="R185">
        <f t="shared" si="54"/>
        <v>0</v>
      </c>
    </row>
    <row r="186" spans="1:18" x14ac:dyDescent="0.25">
      <c r="A186" s="40" t="s">
        <v>176</v>
      </c>
      <c r="B186" s="17"/>
      <c r="C186" s="47"/>
      <c r="D186" s="17"/>
      <c r="E186" s="46"/>
      <c r="F186" s="46" t="s">
        <v>180</v>
      </c>
      <c r="G186" t="s">
        <v>136</v>
      </c>
      <c r="H186" t="s">
        <v>133</v>
      </c>
      <c r="I186" s="33">
        <f>(B182*2*0.222222)/18</f>
        <v>0</v>
      </c>
      <c r="J186" s="33" t="s">
        <v>146</v>
      </c>
      <c r="K186" s="33">
        <f>ROUNDUP(I186,0)</f>
        <v>0</v>
      </c>
      <c r="L186" s="33">
        <v>149</v>
      </c>
      <c r="M186" s="33"/>
      <c r="N186">
        <f>K186*L186</f>
        <v>0</v>
      </c>
      <c r="R186">
        <f t="shared" si="54"/>
        <v>0</v>
      </c>
    </row>
    <row r="187" spans="1:18" x14ac:dyDescent="0.25">
      <c r="A187" s="40" t="s">
        <v>177</v>
      </c>
      <c r="B187" s="17"/>
      <c r="C187" s="47"/>
      <c r="D187" s="17"/>
      <c r="E187" s="46"/>
      <c r="F187" s="46" t="s">
        <v>180</v>
      </c>
      <c r="I187" s="33"/>
      <c r="J187" s="33"/>
      <c r="K187" s="33"/>
      <c r="L187" s="33"/>
      <c r="M187" s="33"/>
      <c r="R187">
        <f t="shared" si="54"/>
        <v>0</v>
      </c>
    </row>
    <row r="188" spans="1:18" x14ac:dyDescent="0.25">
      <c r="A188" s="4"/>
      <c r="B188" s="19"/>
      <c r="C188" s="43" t="s">
        <v>579</v>
      </c>
      <c r="G188" s="39" t="s">
        <v>172</v>
      </c>
      <c r="I188" s="32">
        <f>((B185*2)*0.22222)/F185</f>
        <v>0</v>
      </c>
      <c r="J188" s="39" t="s">
        <v>172</v>
      </c>
      <c r="K188" s="33">
        <f>ROUNDUP(I188,0)</f>
        <v>0</v>
      </c>
      <c r="L188" s="33">
        <f>C185</f>
        <v>0</v>
      </c>
      <c r="M188" s="33"/>
      <c r="N188">
        <f t="shared" ref="N188:N190" si="55">K188*L188</f>
        <v>0</v>
      </c>
      <c r="Q188">
        <v>3.06</v>
      </c>
      <c r="R188">
        <f>B185*Q188</f>
        <v>0</v>
      </c>
    </row>
    <row r="189" spans="1:18" x14ac:dyDescent="0.25">
      <c r="A189" s="17" t="s">
        <v>152</v>
      </c>
      <c r="B189" s="17"/>
      <c r="G189" s="39" t="s">
        <v>173</v>
      </c>
      <c r="I189" s="32">
        <f t="shared" ref="I189:I190" si="56">((B186*2)*0.22222)/F186</f>
        <v>0</v>
      </c>
      <c r="J189" s="39" t="s">
        <v>173</v>
      </c>
      <c r="K189" s="33">
        <f t="shared" ref="K189:K190" si="57">ROUNDUP(I189,0)</f>
        <v>0</v>
      </c>
      <c r="L189" s="33">
        <f t="shared" ref="L189:L190" si="58">C186</f>
        <v>0</v>
      </c>
      <c r="M189" s="33"/>
      <c r="N189">
        <f t="shared" si="55"/>
        <v>0</v>
      </c>
      <c r="Q189">
        <v>3.06</v>
      </c>
      <c r="R189">
        <f t="shared" ref="R189:R190" si="59">B186*Q189</f>
        <v>0</v>
      </c>
    </row>
    <row r="190" spans="1:18" x14ac:dyDescent="0.25">
      <c r="A190" s="4"/>
      <c r="B190" s="13"/>
      <c r="G190" s="39" t="s">
        <v>174</v>
      </c>
      <c r="I190" s="32">
        <f t="shared" si="56"/>
        <v>0</v>
      </c>
      <c r="J190" s="39" t="s">
        <v>174</v>
      </c>
      <c r="K190" s="33">
        <f t="shared" si="57"/>
        <v>0</v>
      </c>
      <c r="L190" s="33">
        <f t="shared" si="58"/>
        <v>0</v>
      </c>
      <c r="N190">
        <f t="shared" si="55"/>
        <v>0</v>
      </c>
      <c r="Q190">
        <v>3.06</v>
      </c>
      <c r="R190">
        <f t="shared" si="59"/>
        <v>0</v>
      </c>
    </row>
    <row r="191" spans="1:18" x14ac:dyDescent="0.25">
      <c r="A191" s="4"/>
      <c r="B191" s="4"/>
    </row>
    <row r="192" spans="1:18" x14ac:dyDescent="0.25">
      <c r="A192" s="4" t="s">
        <v>153</v>
      </c>
      <c r="B192" s="34">
        <f>N195/((100-B193)/100)</f>
        <v>0</v>
      </c>
    </row>
    <row r="193" spans="1:18" x14ac:dyDescent="0.25">
      <c r="A193" s="4" t="s">
        <v>67</v>
      </c>
      <c r="B193" s="13">
        <v>0</v>
      </c>
      <c r="C193" s="1"/>
      <c r="G193" t="s">
        <v>96</v>
      </c>
      <c r="N193">
        <f>B189</f>
        <v>0</v>
      </c>
    </row>
    <row r="194" spans="1:18" x14ac:dyDescent="0.25">
      <c r="A194" s="4"/>
      <c r="B194" s="4"/>
    </row>
    <row r="195" spans="1:18" x14ac:dyDescent="0.25">
      <c r="A195" s="4" t="s">
        <v>76</v>
      </c>
      <c r="B195" s="34">
        <f>R195*((100+B196)/100)</f>
        <v>0</v>
      </c>
      <c r="N195">
        <f>SUM(N171:N193)</f>
        <v>0</v>
      </c>
      <c r="R195">
        <f>SUM(R171:R194)</f>
        <v>0</v>
      </c>
    </row>
    <row r="196" spans="1:18" x14ac:dyDescent="0.25">
      <c r="A196" s="4" t="s">
        <v>154</v>
      </c>
      <c r="B196" s="13">
        <v>0</v>
      </c>
    </row>
    <row r="198" spans="1:18" x14ac:dyDescent="0.25">
      <c r="A198" s="22" t="s">
        <v>155</v>
      </c>
      <c r="B198" s="36">
        <f>B192+B195</f>
        <v>0</v>
      </c>
    </row>
    <row r="201" spans="1:18" x14ac:dyDescent="0.25">
      <c r="A201" s="13" t="s">
        <v>112</v>
      </c>
      <c r="B201" s="13" t="s">
        <v>79</v>
      </c>
    </row>
    <row r="202" spans="1:18" x14ac:dyDescent="0.25">
      <c r="A202" s="13" t="s">
        <v>162</v>
      </c>
      <c r="B202" s="4"/>
    </row>
    <row r="203" spans="1:18" x14ac:dyDescent="0.25">
      <c r="A203" s="4"/>
      <c r="B203" s="17" t="s">
        <v>123</v>
      </c>
      <c r="H203" s="1" t="s">
        <v>125</v>
      </c>
      <c r="I203" s="1" t="s">
        <v>144</v>
      </c>
      <c r="J203" t="s">
        <v>125</v>
      </c>
      <c r="K203" s="1" t="s">
        <v>151</v>
      </c>
      <c r="L203" s="13" t="s">
        <v>150</v>
      </c>
      <c r="N203" s="1" t="s">
        <v>126</v>
      </c>
      <c r="Q203" s="1" t="s">
        <v>76</v>
      </c>
      <c r="R203" t="s">
        <v>155</v>
      </c>
    </row>
    <row r="204" spans="1:18" x14ac:dyDescent="0.25">
      <c r="A204" s="35" t="s">
        <v>120</v>
      </c>
      <c r="B204" s="17"/>
      <c r="G204" t="s">
        <v>124</v>
      </c>
      <c r="I204">
        <f>(B204/50)*1.1</f>
        <v>0</v>
      </c>
      <c r="K204">
        <f t="shared" ref="K204" si="60">ROUNDUP(I204,0)</f>
        <v>0</v>
      </c>
      <c r="L204">
        <v>11.26</v>
      </c>
      <c r="N204">
        <f>K204*L204</f>
        <v>0</v>
      </c>
      <c r="P204" t="s">
        <v>156</v>
      </c>
      <c r="Q204">
        <v>1.25</v>
      </c>
      <c r="R204">
        <f>B204*Q204</f>
        <v>0</v>
      </c>
    </row>
    <row r="205" spans="1:18" x14ac:dyDescent="0.25">
      <c r="A205" s="4"/>
      <c r="B205" s="18"/>
    </row>
    <row r="206" spans="1:18" x14ac:dyDescent="0.25">
      <c r="A206" s="35" t="s">
        <v>142</v>
      </c>
      <c r="B206" s="17"/>
      <c r="G206" t="s">
        <v>141</v>
      </c>
      <c r="H206" t="s">
        <v>127</v>
      </c>
      <c r="I206">
        <f>(B206*0.4)/10</f>
        <v>0</v>
      </c>
      <c r="K206">
        <f t="shared" ref="K206" si="61">ROUNDUP(I206,0)</f>
        <v>0</v>
      </c>
      <c r="L206">
        <v>41.1</v>
      </c>
      <c r="N206">
        <f>K206*L206</f>
        <v>0</v>
      </c>
      <c r="P206" t="s">
        <v>157</v>
      </c>
      <c r="Q206">
        <v>0.72</v>
      </c>
      <c r="R206">
        <f t="shared" ref="R206:R215" si="62">B206*Q206</f>
        <v>0</v>
      </c>
    </row>
    <row r="207" spans="1:18" x14ac:dyDescent="0.25">
      <c r="A207" s="35" t="s">
        <v>143</v>
      </c>
      <c r="B207" s="17"/>
      <c r="P207" t="s">
        <v>157</v>
      </c>
      <c r="Q207">
        <v>0.72</v>
      </c>
      <c r="R207">
        <f t="shared" si="62"/>
        <v>0</v>
      </c>
    </row>
    <row r="208" spans="1:18" x14ac:dyDescent="0.25">
      <c r="A208" s="4"/>
      <c r="B208" s="18"/>
      <c r="R208">
        <f t="shared" si="62"/>
        <v>0</v>
      </c>
    </row>
    <row r="209" spans="1:18" x14ac:dyDescent="0.25">
      <c r="A209" s="35" t="s">
        <v>121</v>
      </c>
      <c r="B209" s="17"/>
      <c r="C209" s="25" t="s">
        <v>580</v>
      </c>
      <c r="G209" t="s">
        <v>128</v>
      </c>
      <c r="H209" t="s">
        <v>30</v>
      </c>
      <c r="I209">
        <f>(B209*1.2)/20</f>
        <v>0</v>
      </c>
      <c r="J209" t="s">
        <v>148</v>
      </c>
      <c r="K209">
        <f>ROUNDUP(I209,0)</f>
        <v>0</v>
      </c>
      <c r="L209">
        <v>11.9</v>
      </c>
      <c r="N209">
        <f>K209*L209</f>
        <v>0</v>
      </c>
      <c r="P209" t="s">
        <v>158</v>
      </c>
      <c r="Q209">
        <v>3.96</v>
      </c>
      <c r="R209">
        <f t="shared" si="62"/>
        <v>0</v>
      </c>
    </row>
    <row r="210" spans="1:18" x14ac:dyDescent="0.25">
      <c r="A210" s="4"/>
      <c r="B210" s="18"/>
      <c r="H210" t="s">
        <v>31</v>
      </c>
      <c r="I210">
        <f>(B209*1.2)/20</f>
        <v>0</v>
      </c>
      <c r="J210" t="s">
        <v>149</v>
      </c>
      <c r="K210">
        <f>ROUNDUP(I210,0)</f>
        <v>0</v>
      </c>
      <c r="L210">
        <v>13.12</v>
      </c>
      <c r="N210">
        <f>K210*L210</f>
        <v>0</v>
      </c>
      <c r="R210">
        <f t="shared" si="62"/>
        <v>0</v>
      </c>
    </row>
    <row r="211" spans="1:18" x14ac:dyDescent="0.25">
      <c r="A211" s="35" t="s">
        <v>139</v>
      </c>
      <c r="B211" s="17"/>
      <c r="P211" t="s">
        <v>159</v>
      </c>
      <c r="Q211">
        <v>28.98</v>
      </c>
      <c r="R211">
        <f t="shared" si="62"/>
        <v>0</v>
      </c>
    </row>
    <row r="212" spans="1:18" x14ac:dyDescent="0.25">
      <c r="A212" s="4"/>
      <c r="B212" s="18"/>
      <c r="G212" t="s">
        <v>129</v>
      </c>
      <c r="H212" t="s">
        <v>24</v>
      </c>
      <c r="I212">
        <f>(B207*0.4)/10</f>
        <v>0</v>
      </c>
      <c r="J212" t="s">
        <v>54</v>
      </c>
      <c r="K212">
        <f t="shared" ref="K212" si="63">ROUNDUP(I212,0)</f>
        <v>0</v>
      </c>
      <c r="L212">
        <v>25.73</v>
      </c>
      <c r="N212">
        <f>K212*L212</f>
        <v>0</v>
      </c>
      <c r="R212">
        <f t="shared" si="62"/>
        <v>0</v>
      </c>
    </row>
    <row r="213" spans="1:18" x14ac:dyDescent="0.25">
      <c r="A213" s="35" t="s">
        <v>122</v>
      </c>
      <c r="B213" s="17"/>
      <c r="P213" t="s">
        <v>160</v>
      </c>
      <c r="Q213">
        <v>3.06</v>
      </c>
      <c r="R213">
        <f t="shared" si="62"/>
        <v>0</v>
      </c>
    </row>
    <row r="214" spans="1:18" x14ac:dyDescent="0.25">
      <c r="A214" s="35" t="s">
        <v>137</v>
      </c>
      <c r="B214" s="17"/>
      <c r="G214" t="s">
        <v>140</v>
      </c>
      <c r="H214" t="s">
        <v>130</v>
      </c>
      <c r="I214">
        <f>(B211*12)/20</f>
        <v>0</v>
      </c>
      <c r="J214" t="s">
        <v>130</v>
      </c>
      <c r="K214">
        <f>ROUNDUP(I214,0)</f>
        <v>0</v>
      </c>
      <c r="L214">
        <v>15.07</v>
      </c>
      <c r="N214">
        <f>K214*L214</f>
        <v>0</v>
      </c>
      <c r="P214" t="s">
        <v>161</v>
      </c>
      <c r="Q214">
        <v>3.06</v>
      </c>
      <c r="R214">
        <f t="shared" si="62"/>
        <v>0</v>
      </c>
    </row>
    <row r="215" spans="1:18" x14ac:dyDescent="0.25">
      <c r="A215" s="35" t="s">
        <v>138</v>
      </c>
      <c r="B215" s="44"/>
      <c r="I215" s="4"/>
      <c r="K215" s="4"/>
      <c r="P215" t="s">
        <v>161</v>
      </c>
      <c r="Q215">
        <v>3.06</v>
      </c>
      <c r="R215">
        <f t="shared" si="62"/>
        <v>0</v>
      </c>
    </row>
    <row r="216" spans="1:18" x14ac:dyDescent="0.25">
      <c r="A216" s="4"/>
      <c r="B216" s="45"/>
      <c r="G216" t="s">
        <v>135</v>
      </c>
      <c r="H216" t="s">
        <v>131</v>
      </c>
      <c r="I216" s="33">
        <f>(B213*2*0.222222)/18</f>
        <v>0</v>
      </c>
      <c r="J216" s="33" t="s">
        <v>147</v>
      </c>
      <c r="K216" s="33">
        <f>ROUNDUP(I216,0)</f>
        <v>0</v>
      </c>
      <c r="L216" s="33">
        <v>51.58</v>
      </c>
      <c r="M216" s="33"/>
      <c r="N216">
        <f>K216*L216</f>
        <v>0</v>
      </c>
      <c r="R216">
        <f t="shared" ref="R216:R220" si="64">B216*Q216</f>
        <v>0</v>
      </c>
    </row>
    <row r="217" spans="1:18" x14ac:dyDescent="0.25">
      <c r="A217" s="31" t="s">
        <v>171</v>
      </c>
      <c r="B217" s="42"/>
      <c r="C217" s="43" t="s">
        <v>179</v>
      </c>
      <c r="D217" s="43" t="s">
        <v>79</v>
      </c>
      <c r="E217" s="43" t="s">
        <v>125</v>
      </c>
      <c r="F217" s="43" t="s">
        <v>178</v>
      </c>
      <c r="I217" s="33"/>
      <c r="J217" s="33"/>
      <c r="K217" s="33"/>
      <c r="L217" s="33"/>
      <c r="M217" s="33"/>
      <c r="R217">
        <f t="shared" si="64"/>
        <v>0</v>
      </c>
    </row>
    <row r="218" spans="1:18" x14ac:dyDescent="0.25">
      <c r="A218" s="40" t="s">
        <v>175</v>
      </c>
      <c r="B218" s="17"/>
      <c r="C218" s="47"/>
      <c r="D218" s="17"/>
      <c r="E218" s="46"/>
      <c r="F218" s="46" t="s">
        <v>180</v>
      </c>
      <c r="G218" t="s">
        <v>134</v>
      </c>
      <c r="H218" t="s">
        <v>132</v>
      </c>
      <c r="I218" s="33">
        <f>(B214*2*0.222222)/18</f>
        <v>0</v>
      </c>
      <c r="J218" s="33" t="s">
        <v>145</v>
      </c>
      <c r="K218" s="33">
        <f>ROUNDUP(I218,0)</f>
        <v>0</v>
      </c>
      <c r="L218" s="33">
        <v>74.099999999999994</v>
      </c>
      <c r="M218" s="33"/>
      <c r="N218">
        <f>K218*L218</f>
        <v>0</v>
      </c>
      <c r="R218">
        <f t="shared" si="64"/>
        <v>0</v>
      </c>
    </row>
    <row r="219" spans="1:18" x14ac:dyDescent="0.25">
      <c r="A219" s="40" t="s">
        <v>176</v>
      </c>
      <c r="B219" s="17"/>
      <c r="C219" s="47"/>
      <c r="D219" s="17"/>
      <c r="E219" s="46"/>
      <c r="F219" s="46" t="s">
        <v>180</v>
      </c>
      <c r="G219" t="s">
        <v>136</v>
      </c>
      <c r="H219" t="s">
        <v>133</v>
      </c>
      <c r="I219" s="33">
        <f>(B215*2*0.222222)/18</f>
        <v>0</v>
      </c>
      <c r="J219" s="33" t="s">
        <v>146</v>
      </c>
      <c r="K219" s="33">
        <f>ROUNDUP(I219,0)</f>
        <v>0</v>
      </c>
      <c r="L219" s="33">
        <v>149</v>
      </c>
      <c r="M219" s="33"/>
      <c r="N219">
        <f>K219*L219</f>
        <v>0</v>
      </c>
      <c r="R219">
        <f t="shared" si="64"/>
        <v>0</v>
      </c>
    </row>
    <row r="220" spans="1:18" x14ac:dyDescent="0.25">
      <c r="A220" s="40" t="s">
        <v>177</v>
      </c>
      <c r="B220" s="17"/>
      <c r="C220" s="47"/>
      <c r="D220" s="17"/>
      <c r="E220" s="46"/>
      <c r="F220" s="46" t="s">
        <v>180</v>
      </c>
      <c r="I220" s="33"/>
      <c r="J220" s="33"/>
      <c r="K220" s="33"/>
      <c r="L220" s="33"/>
      <c r="M220" s="33"/>
      <c r="R220">
        <f t="shared" si="64"/>
        <v>0</v>
      </c>
    </row>
    <row r="221" spans="1:18" x14ac:dyDescent="0.25">
      <c r="A221" s="4"/>
      <c r="B221" s="19"/>
      <c r="C221" s="43" t="s">
        <v>579</v>
      </c>
      <c r="G221" s="39" t="s">
        <v>172</v>
      </c>
      <c r="I221" s="32">
        <f>((B218*2)*0.22222)/F218</f>
        <v>0</v>
      </c>
      <c r="J221" s="39" t="s">
        <v>172</v>
      </c>
      <c r="K221" s="33">
        <f>ROUNDUP(I221,0)</f>
        <v>0</v>
      </c>
      <c r="L221" s="33">
        <f>C218</f>
        <v>0</v>
      </c>
      <c r="M221" s="33"/>
      <c r="N221">
        <f t="shared" ref="N221:N223" si="65">K221*L221</f>
        <v>0</v>
      </c>
      <c r="Q221">
        <v>3.06</v>
      </c>
      <c r="R221">
        <f>B218*Q221</f>
        <v>0</v>
      </c>
    </row>
    <row r="222" spans="1:18" x14ac:dyDescent="0.25">
      <c r="A222" s="17" t="s">
        <v>152</v>
      </c>
      <c r="B222" s="17"/>
      <c r="G222" s="39" t="s">
        <v>173</v>
      </c>
      <c r="I222" s="32">
        <f t="shared" ref="I222:I223" si="66">((B219*2)*0.22222)/F219</f>
        <v>0</v>
      </c>
      <c r="J222" s="39" t="s">
        <v>173</v>
      </c>
      <c r="K222" s="33">
        <f t="shared" ref="K222:K223" si="67">ROUNDUP(I222,0)</f>
        <v>0</v>
      </c>
      <c r="L222" s="33">
        <f t="shared" ref="L222:L223" si="68">C219</f>
        <v>0</v>
      </c>
      <c r="M222" s="33"/>
      <c r="N222">
        <f t="shared" si="65"/>
        <v>0</v>
      </c>
      <c r="Q222">
        <v>3.06</v>
      </c>
      <c r="R222">
        <f t="shared" ref="R222:R223" si="69">B219*Q222</f>
        <v>0</v>
      </c>
    </row>
    <row r="223" spans="1:18" x14ac:dyDescent="0.25">
      <c r="A223" s="4"/>
      <c r="B223" s="13"/>
      <c r="G223" s="39" t="s">
        <v>174</v>
      </c>
      <c r="I223" s="32">
        <f t="shared" si="66"/>
        <v>0</v>
      </c>
      <c r="J223" s="39" t="s">
        <v>174</v>
      </c>
      <c r="K223" s="33">
        <f t="shared" si="67"/>
        <v>0</v>
      </c>
      <c r="L223" s="33">
        <f t="shared" si="68"/>
        <v>0</v>
      </c>
      <c r="N223">
        <f t="shared" si="65"/>
        <v>0</v>
      </c>
      <c r="Q223">
        <v>3.06</v>
      </c>
      <c r="R223">
        <f t="shared" si="69"/>
        <v>0</v>
      </c>
    </row>
    <row r="224" spans="1:18" x14ac:dyDescent="0.25">
      <c r="A224" s="4"/>
      <c r="B224" s="4"/>
    </row>
    <row r="225" spans="1:18" x14ac:dyDescent="0.25">
      <c r="A225" s="4" t="s">
        <v>153</v>
      </c>
      <c r="B225" s="34">
        <f>N228/((100-B226)/100)</f>
        <v>0</v>
      </c>
    </row>
    <row r="226" spans="1:18" x14ac:dyDescent="0.25">
      <c r="A226" s="4" t="s">
        <v>67</v>
      </c>
      <c r="B226" s="13">
        <v>0</v>
      </c>
      <c r="C226" s="1"/>
      <c r="G226" t="s">
        <v>96</v>
      </c>
      <c r="N226">
        <f>B222</f>
        <v>0</v>
      </c>
    </row>
    <row r="227" spans="1:18" x14ac:dyDescent="0.25">
      <c r="A227" s="4"/>
      <c r="B227" s="4"/>
    </row>
    <row r="228" spans="1:18" x14ac:dyDescent="0.25">
      <c r="A228" s="4" t="s">
        <v>76</v>
      </c>
      <c r="B228" s="34">
        <f>R228*((100+B229)/100)</f>
        <v>0</v>
      </c>
      <c r="N228">
        <f>SUM(N204:N226)</f>
        <v>0</v>
      </c>
      <c r="R228">
        <f>SUM(R204:R227)</f>
        <v>0</v>
      </c>
    </row>
    <row r="229" spans="1:18" x14ac:dyDescent="0.25">
      <c r="A229" s="4" t="s">
        <v>154</v>
      </c>
      <c r="B229" s="13">
        <v>0</v>
      </c>
    </row>
    <row r="231" spans="1:18" x14ac:dyDescent="0.25">
      <c r="A231" s="22" t="s">
        <v>155</v>
      </c>
      <c r="B231" s="36">
        <f>B225+B228</f>
        <v>0</v>
      </c>
    </row>
    <row r="234" spans="1:18" x14ac:dyDescent="0.25">
      <c r="A234" s="13" t="s">
        <v>113</v>
      </c>
      <c r="B234" s="13" t="s">
        <v>79</v>
      </c>
    </row>
    <row r="235" spans="1:18" x14ac:dyDescent="0.25">
      <c r="A235" s="13" t="s">
        <v>162</v>
      </c>
      <c r="B235" s="4"/>
    </row>
    <row r="236" spans="1:18" x14ac:dyDescent="0.25">
      <c r="A236" s="4"/>
      <c r="B236" s="17" t="s">
        <v>123</v>
      </c>
      <c r="H236" s="1" t="s">
        <v>125</v>
      </c>
      <c r="I236" s="1" t="s">
        <v>144</v>
      </c>
      <c r="J236" t="s">
        <v>125</v>
      </c>
      <c r="K236" s="1" t="s">
        <v>151</v>
      </c>
      <c r="L236" s="13" t="s">
        <v>150</v>
      </c>
      <c r="N236" s="1" t="s">
        <v>126</v>
      </c>
      <c r="Q236" s="1" t="s">
        <v>76</v>
      </c>
      <c r="R236" t="s">
        <v>155</v>
      </c>
    </row>
    <row r="237" spans="1:18" x14ac:dyDescent="0.25">
      <c r="A237" s="35" t="s">
        <v>120</v>
      </c>
      <c r="B237" s="17"/>
      <c r="G237" t="s">
        <v>124</v>
      </c>
      <c r="I237">
        <f>(B237/50)*1.1</f>
        <v>0</v>
      </c>
      <c r="K237">
        <f t="shared" ref="K237" si="70">ROUNDUP(I237,0)</f>
        <v>0</v>
      </c>
      <c r="L237">
        <v>11.26</v>
      </c>
      <c r="N237">
        <f>K237*L237</f>
        <v>0</v>
      </c>
      <c r="P237" t="s">
        <v>156</v>
      </c>
      <c r="Q237">
        <v>1.25</v>
      </c>
      <c r="R237">
        <f>B237*Q237</f>
        <v>0</v>
      </c>
    </row>
    <row r="238" spans="1:18" x14ac:dyDescent="0.25">
      <c r="A238" s="4"/>
      <c r="B238" s="18"/>
    </row>
    <row r="239" spans="1:18" x14ac:dyDescent="0.25">
      <c r="A239" s="35" t="s">
        <v>142</v>
      </c>
      <c r="B239" s="17"/>
      <c r="G239" t="s">
        <v>141</v>
      </c>
      <c r="H239" t="s">
        <v>127</v>
      </c>
      <c r="I239">
        <f>(B239*0.4)/10</f>
        <v>0</v>
      </c>
      <c r="K239">
        <f t="shared" ref="K239" si="71">ROUNDUP(I239,0)</f>
        <v>0</v>
      </c>
      <c r="L239">
        <v>41.1</v>
      </c>
      <c r="N239">
        <f>K239*L239</f>
        <v>0</v>
      </c>
      <c r="P239" t="s">
        <v>157</v>
      </c>
      <c r="Q239">
        <v>0.72</v>
      </c>
      <c r="R239">
        <f t="shared" ref="R239:R248" si="72">B239*Q239</f>
        <v>0</v>
      </c>
    </row>
    <row r="240" spans="1:18" x14ac:dyDescent="0.25">
      <c r="A240" s="35" t="s">
        <v>143</v>
      </c>
      <c r="B240" s="17"/>
      <c r="P240" t="s">
        <v>157</v>
      </c>
      <c r="Q240">
        <v>0.72</v>
      </c>
      <c r="R240">
        <f t="shared" si="72"/>
        <v>0</v>
      </c>
    </row>
    <row r="241" spans="1:18" x14ac:dyDescent="0.25">
      <c r="A241" s="4"/>
      <c r="B241" s="18"/>
      <c r="R241">
        <f t="shared" si="72"/>
        <v>0</v>
      </c>
    </row>
    <row r="242" spans="1:18" x14ac:dyDescent="0.25">
      <c r="A242" s="35" t="s">
        <v>121</v>
      </c>
      <c r="B242" s="17"/>
      <c r="C242" s="25" t="s">
        <v>580</v>
      </c>
      <c r="G242" t="s">
        <v>128</v>
      </c>
      <c r="H242" t="s">
        <v>30</v>
      </c>
      <c r="I242">
        <f>(B242*1.2)/20</f>
        <v>0</v>
      </c>
      <c r="J242" t="s">
        <v>148</v>
      </c>
      <c r="K242">
        <f>ROUNDUP(I242,0)</f>
        <v>0</v>
      </c>
      <c r="L242">
        <v>11.9</v>
      </c>
      <c r="N242">
        <f>K242*L242</f>
        <v>0</v>
      </c>
      <c r="P242" t="s">
        <v>158</v>
      </c>
      <c r="Q242">
        <v>3.96</v>
      </c>
      <c r="R242">
        <f t="shared" si="72"/>
        <v>0</v>
      </c>
    </row>
    <row r="243" spans="1:18" x14ac:dyDescent="0.25">
      <c r="A243" s="4"/>
      <c r="B243" s="18"/>
      <c r="H243" t="s">
        <v>31</v>
      </c>
      <c r="I243">
        <f>(B242*1.2)/20</f>
        <v>0</v>
      </c>
      <c r="J243" t="s">
        <v>149</v>
      </c>
      <c r="K243">
        <f>ROUNDUP(I243,0)</f>
        <v>0</v>
      </c>
      <c r="L243">
        <v>13.12</v>
      </c>
      <c r="N243">
        <f>K243*L243</f>
        <v>0</v>
      </c>
      <c r="R243">
        <f t="shared" si="72"/>
        <v>0</v>
      </c>
    </row>
    <row r="244" spans="1:18" x14ac:dyDescent="0.25">
      <c r="A244" s="35" t="s">
        <v>139</v>
      </c>
      <c r="B244" s="17"/>
      <c r="P244" t="s">
        <v>159</v>
      </c>
      <c r="Q244">
        <v>28.98</v>
      </c>
      <c r="R244">
        <f t="shared" si="72"/>
        <v>0</v>
      </c>
    </row>
    <row r="245" spans="1:18" x14ac:dyDescent="0.25">
      <c r="A245" s="4"/>
      <c r="B245" s="18"/>
      <c r="G245" t="s">
        <v>129</v>
      </c>
      <c r="H245" t="s">
        <v>24</v>
      </c>
      <c r="I245">
        <f>(B240*0.4)/10</f>
        <v>0</v>
      </c>
      <c r="J245" t="s">
        <v>54</v>
      </c>
      <c r="K245">
        <f t="shared" ref="K245" si="73">ROUNDUP(I245,0)</f>
        <v>0</v>
      </c>
      <c r="L245">
        <v>25.73</v>
      </c>
      <c r="N245">
        <f>K245*L245</f>
        <v>0</v>
      </c>
      <c r="R245">
        <f t="shared" si="72"/>
        <v>0</v>
      </c>
    </row>
    <row r="246" spans="1:18" x14ac:dyDescent="0.25">
      <c r="A246" s="35" t="s">
        <v>122</v>
      </c>
      <c r="B246" s="17"/>
      <c r="P246" t="s">
        <v>160</v>
      </c>
      <c r="Q246">
        <v>3.06</v>
      </c>
      <c r="R246">
        <f t="shared" si="72"/>
        <v>0</v>
      </c>
    </row>
    <row r="247" spans="1:18" x14ac:dyDescent="0.25">
      <c r="A247" s="35" t="s">
        <v>137</v>
      </c>
      <c r="B247" s="17"/>
      <c r="G247" t="s">
        <v>140</v>
      </c>
      <c r="H247" t="s">
        <v>130</v>
      </c>
      <c r="I247">
        <f>(B244*12)/20</f>
        <v>0</v>
      </c>
      <c r="J247" t="s">
        <v>130</v>
      </c>
      <c r="K247">
        <f>ROUNDUP(I247,0)</f>
        <v>0</v>
      </c>
      <c r="L247">
        <v>15.07</v>
      </c>
      <c r="N247">
        <f>K247*L247</f>
        <v>0</v>
      </c>
      <c r="P247" t="s">
        <v>161</v>
      </c>
      <c r="Q247">
        <v>3.06</v>
      </c>
      <c r="R247">
        <f t="shared" si="72"/>
        <v>0</v>
      </c>
    </row>
    <row r="248" spans="1:18" x14ac:dyDescent="0.25">
      <c r="A248" s="35" t="s">
        <v>138</v>
      </c>
      <c r="B248" s="44"/>
      <c r="I248" s="4"/>
      <c r="K248" s="4"/>
      <c r="P248" t="s">
        <v>161</v>
      </c>
      <c r="Q248">
        <v>3.06</v>
      </c>
      <c r="R248">
        <f t="shared" si="72"/>
        <v>0</v>
      </c>
    </row>
    <row r="249" spans="1:18" x14ac:dyDescent="0.25">
      <c r="A249" s="4"/>
      <c r="B249" s="45"/>
      <c r="G249" t="s">
        <v>135</v>
      </c>
      <c r="H249" t="s">
        <v>131</v>
      </c>
      <c r="I249" s="33">
        <f>(B246*2*0.222222)/18</f>
        <v>0</v>
      </c>
      <c r="J249" s="33" t="s">
        <v>147</v>
      </c>
      <c r="K249" s="33">
        <f>ROUNDUP(I249,0)</f>
        <v>0</v>
      </c>
      <c r="L249" s="33">
        <v>51.58</v>
      </c>
      <c r="M249" s="33"/>
      <c r="N249">
        <f>K249*L249</f>
        <v>0</v>
      </c>
      <c r="R249">
        <f t="shared" ref="R249:R253" si="74">B249*Q249</f>
        <v>0</v>
      </c>
    </row>
    <row r="250" spans="1:18" x14ac:dyDescent="0.25">
      <c r="A250" s="31" t="s">
        <v>171</v>
      </c>
      <c r="B250" s="42"/>
      <c r="C250" s="43" t="s">
        <v>179</v>
      </c>
      <c r="D250" s="43" t="s">
        <v>79</v>
      </c>
      <c r="E250" s="43" t="s">
        <v>125</v>
      </c>
      <c r="F250" s="43" t="s">
        <v>178</v>
      </c>
      <c r="I250" s="33"/>
      <c r="J250" s="33"/>
      <c r="K250" s="33"/>
      <c r="L250" s="33"/>
      <c r="M250" s="33"/>
      <c r="R250">
        <f t="shared" si="74"/>
        <v>0</v>
      </c>
    </row>
    <row r="251" spans="1:18" x14ac:dyDescent="0.25">
      <c r="A251" s="40" t="s">
        <v>175</v>
      </c>
      <c r="B251" s="17"/>
      <c r="C251" s="47"/>
      <c r="D251" s="17"/>
      <c r="E251" s="46"/>
      <c r="F251" s="46" t="s">
        <v>180</v>
      </c>
      <c r="G251" t="s">
        <v>134</v>
      </c>
      <c r="H251" t="s">
        <v>132</v>
      </c>
      <c r="I251" s="33">
        <f>(B247*2*0.222222)/18</f>
        <v>0</v>
      </c>
      <c r="J251" s="33" t="s">
        <v>145</v>
      </c>
      <c r="K251" s="33">
        <f>ROUNDUP(I251,0)</f>
        <v>0</v>
      </c>
      <c r="L251" s="33">
        <v>74.099999999999994</v>
      </c>
      <c r="M251" s="33"/>
      <c r="N251">
        <f>K251*L251</f>
        <v>0</v>
      </c>
      <c r="R251">
        <f t="shared" si="74"/>
        <v>0</v>
      </c>
    </row>
    <row r="252" spans="1:18" x14ac:dyDescent="0.25">
      <c r="A252" s="40" t="s">
        <v>176</v>
      </c>
      <c r="B252" s="17"/>
      <c r="C252" s="47"/>
      <c r="D252" s="17"/>
      <c r="E252" s="46"/>
      <c r="F252" s="46" t="s">
        <v>180</v>
      </c>
      <c r="G252" t="s">
        <v>136</v>
      </c>
      <c r="H252" t="s">
        <v>133</v>
      </c>
      <c r="I252" s="33">
        <f>(B248*2*0.222222)/18</f>
        <v>0</v>
      </c>
      <c r="J252" s="33" t="s">
        <v>146</v>
      </c>
      <c r="K252" s="33">
        <f>ROUNDUP(I252,0)</f>
        <v>0</v>
      </c>
      <c r="L252" s="33">
        <v>149</v>
      </c>
      <c r="M252" s="33"/>
      <c r="N252">
        <f>K252*L252</f>
        <v>0</v>
      </c>
      <c r="R252">
        <f t="shared" si="74"/>
        <v>0</v>
      </c>
    </row>
    <row r="253" spans="1:18" x14ac:dyDescent="0.25">
      <c r="A253" s="40" t="s">
        <v>177</v>
      </c>
      <c r="B253" s="17"/>
      <c r="C253" s="47"/>
      <c r="D253" s="17"/>
      <c r="E253" s="46"/>
      <c r="F253" s="46" t="s">
        <v>180</v>
      </c>
      <c r="I253" s="33"/>
      <c r="J253" s="33"/>
      <c r="K253" s="33"/>
      <c r="L253" s="33"/>
      <c r="M253" s="33"/>
      <c r="R253">
        <f t="shared" si="74"/>
        <v>0</v>
      </c>
    </row>
    <row r="254" spans="1:18" x14ac:dyDescent="0.25">
      <c r="A254" s="4"/>
      <c r="B254" s="19"/>
      <c r="C254" s="43" t="s">
        <v>579</v>
      </c>
      <c r="G254" s="39" t="s">
        <v>172</v>
      </c>
      <c r="I254" s="32">
        <f>((B251*2)*0.22222)/F251</f>
        <v>0</v>
      </c>
      <c r="J254" s="39" t="s">
        <v>172</v>
      </c>
      <c r="K254" s="33">
        <f>ROUNDUP(I254,0)</f>
        <v>0</v>
      </c>
      <c r="L254" s="33">
        <f>C251</f>
        <v>0</v>
      </c>
      <c r="M254" s="33"/>
      <c r="N254">
        <f t="shared" ref="N254:N256" si="75">K254*L254</f>
        <v>0</v>
      </c>
      <c r="Q254">
        <v>3.06</v>
      </c>
      <c r="R254">
        <f>B251*Q254</f>
        <v>0</v>
      </c>
    </row>
    <row r="255" spans="1:18" x14ac:dyDescent="0.25">
      <c r="A255" s="17" t="s">
        <v>152</v>
      </c>
      <c r="B255" s="17"/>
      <c r="G255" s="39" t="s">
        <v>173</v>
      </c>
      <c r="I255" s="32">
        <f t="shared" ref="I255:I256" si="76">((B252*2)*0.22222)/F252</f>
        <v>0</v>
      </c>
      <c r="J255" s="39" t="s">
        <v>173</v>
      </c>
      <c r="K255" s="33">
        <f t="shared" ref="K255:K256" si="77">ROUNDUP(I255,0)</f>
        <v>0</v>
      </c>
      <c r="L255" s="33">
        <f t="shared" ref="L255:L256" si="78">C252</f>
        <v>0</v>
      </c>
      <c r="M255" s="33"/>
      <c r="N255">
        <f t="shared" si="75"/>
        <v>0</v>
      </c>
      <c r="Q255">
        <v>3.06</v>
      </c>
      <c r="R255">
        <f t="shared" ref="R255:R256" si="79">B252*Q255</f>
        <v>0</v>
      </c>
    </row>
    <row r="256" spans="1:18" x14ac:dyDescent="0.25">
      <c r="A256" s="4"/>
      <c r="B256" s="13"/>
      <c r="G256" s="39" t="s">
        <v>174</v>
      </c>
      <c r="I256" s="32">
        <f t="shared" si="76"/>
        <v>0</v>
      </c>
      <c r="J256" s="39" t="s">
        <v>174</v>
      </c>
      <c r="K256" s="33">
        <f t="shared" si="77"/>
        <v>0</v>
      </c>
      <c r="L256" s="33">
        <f t="shared" si="78"/>
        <v>0</v>
      </c>
      <c r="N256">
        <f t="shared" si="75"/>
        <v>0</v>
      </c>
      <c r="Q256">
        <v>3.06</v>
      </c>
      <c r="R256">
        <f t="shared" si="79"/>
        <v>0</v>
      </c>
    </row>
    <row r="257" spans="1:18" x14ac:dyDescent="0.25">
      <c r="A257" s="4"/>
      <c r="B257" s="4"/>
    </row>
    <row r="258" spans="1:18" x14ac:dyDescent="0.25">
      <c r="A258" s="4" t="s">
        <v>153</v>
      </c>
      <c r="B258" s="34">
        <f>N261/((100-B259)/100)</f>
        <v>0</v>
      </c>
    </row>
    <row r="259" spans="1:18" x14ac:dyDescent="0.25">
      <c r="A259" s="4" t="s">
        <v>67</v>
      </c>
      <c r="B259" s="13">
        <v>0</v>
      </c>
      <c r="C259" s="1"/>
      <c r="G259" t="s">
        <v>96</v>
      </c>
      <c r="N259">
        <f>B255</f>
        <v>0</v>
      </c>
    </row>
    <row r="260" spans="1:18" x14ac:dyDescent="0.25">
      <c r="A260" s="4"/>
      <c r="B260" s="4"/>
    </row>
    <row r="261" spans="1:18" x14ac:dyDescent="0.25">
      <c r="A261" s="4" t="s">
        <v>76</v>
      </c>
      <c r="B261" s="34">
        <f>R261*((100+B262)/100)</f>
        <v>0</v>
      </c>
      <c r="N261">
        <f>SUM(N237:N259)</f>
        <v>0</v>
      </c>
      <c r="R261">
        <f>SUM(R237:R260)</f>
        <v>0</v>
      </c>
    </row>
    <row r="262" spans="1:18" x14ac:dyDescent="0.25">
      <c r="A262" s="4" t="s">
        <v>154</v>
      </c>
      <c r="B262" s="13">
        <v>0</v>
      </c>
    </row>
    <row r="264" spans="1:18" x14ac:dyDescent="0.25">
      <c r="A264" s="22" t="s">
        <v>155</v>
      </c>
      <c r="B264" s="36">
        <f>B258+B261</f>
        <v>0</v>
      </c>
    </row>
    <row r="267" spans="1:18" x14ac:dyDescent="0.25">
      <c r="A267" s="13" t="s">
        <v>163</v>
      </c>
      <c r="B267" s="13" t="s">
        <v>79</v>
      </c>
    </row>
    <row r="268" spans="1:18" x14ac:dyDescent="0.25">
      <c r="A268" s="13" t="s">
        <v>162</v>
      </c>
      <c r="B268" s="4"/>
    </row>
    <row r="269" spans="1:18" x14ac:dyDescent="0.25">
      <c r="A269" s="4"/>
      <c r="B269" s="17" t="s">
        <v>123</v>
      </c>
      <c r="H269" s="1" t="s">
        <v>125</v>
      </c>
      <c r="I269" s="1" t="s">
        <v>144</v>
      </c>
      <c r="J269" t="s">
        <v>125</v>
      </c>
      <c r="K269" s="1" t="s">
        <v>151</v>
      </c>
      <c r="L269" s="13" t="s">
        <v>150</v>
      </c>
      <c r="N269" s="1" t="s">
        <v>126</v>
      </c>
      <c r="Q269" s="1" t="s">
        <v>76</v>
      </c>
      <c r="R269" t="s">
        <v>155</v>
      </c>
    </row>
    <row r="270" spans="1:18" x14ac:dyDescent="0.25">
      <c r="A270" s="35" t="s">
        <v>120</v>
      </c>
      <c r="B270" s="17"/>
      <c r="G270" t="s">
        <v>124</v>
      </c>
      <c r="I270">
        <f>(B270/50)*1.1</f>
        <v>0</v>
      </c>
      <c r="K270">
        <f t="shared" ref="K270" si="80">ROUNDUP(I270,0)</f>
        <v>0</v>
      </c>
      <c r="L270">
        <v>11.26</v>
      </c>
      <c r="N270">
        <f>K270*L270</f>
        <v>0</v>
      </c>
      <c r="P270" t="s">
        <v>156</v>
      </c>
      <c r="Q270">
        <v>1.25</v>
      </c>
      <c r="R270">
        <f>B270*Q270</f>
        <v>0</v>
      </c>
    </row>
    <row r="271" spans="1:18" x14ac:dyDescent="0.25">
      <c r="A271" s="4"/>
      <c r="B271" s="18"/>
    </row>
    <row r="272" spans="1:18" x14ac:dyDescent="0.25">
      <c r="A272" s="35" t="s">
        <v>142</v>
      </c>
      <c r="B272" s="17"/>
      <c r="G272" t="s">
        <v>141</v>
      </c>
      <c r="H272" t="s">
        <v>127</v>
      </c>
      <c r="I272">
        <f>(B272*0.4)/10</f>
        <v>0</v>
      </c>
      <c r="K272">
        <f t="shared" ref="K272" si="81">ROUNDUP(I272,0)</f>
        <v>0</v>
      </c>
      <c r="L272">
        <v>41.1</v>
      </c>
      <c r="N272">
        <f>K272*L272</f>
        <v>0</v>
      </c>
      <c r="P272" t="s">
        <v>157</v>
      </c>
      <c r="Q272">
        <v>0.72</v>
      </c>
      <c r="R272">
        <f t="shared" ref="R272:R281" si="82">B272*Q272</f>
        <v>0</v>
      </c>
    </row>
    <row r="273" spans="1:18" x14ac:dyDescent="0.25">
      <c r="A273" s="35" t="s">
        <v>143</v>
      </c>
      <c r="B273" s="17"/>
      <c r="P273" t="s">
        <v>157</v>
      </c>
      <c r="Q273">
        <v>0.72</v>
      </c>
      <c r="R273">
        <f t="shared" si="82"/>
        <v>0</v>
      </c>
    </row>
    <row r="274" spans="1:18" x14ac:dyDescent="0.25">
      <c r="A274" s="4"/>
      <c r="B274" s="18"/>
      <c r="R274">
        <f t="shared" si="82"/>
        <v>0</v>
      </c>
    </row>
    <row r="275" spans="1:18" x14ac:dyDescent="0.25">
      <c r="A275" s="35" t="s">
        <v>121</v>
      </c>
      <c r="B275" s="17"/>
      <c r="C275" s="25" t="s">
        <v>580</v>
      </c>
      <c r="G275" t="s">
        <v>128</v>
      </c>
      <c r="H275" t="s">
        <v>30</v>
      </c>
      <c r="I275">
        <f>(B275*1.2)/20</f>
        <v>0</v>
      </c>
      <c r="J275" t="s">
        <v>148</v>
      </c>
      <c r="K275">
        <f>ROUNDUP(I275,0)</f>
        <v>0</v>
      </c>
      <c r="L275">
        <v>11.9</v>
      </c>
      <c r="N275">
        <f>K275*L275</f>
        <v>0</v>
      </c>
      <c r="P275" t="s">
        <v>158</v>
      </c>
      <c r="Q275">
        <v>3.96</v>
      </c>
      <c r="R275">
        <f t="shared" si="82"/>
        <v>0</v>
      </c>
    </row>
    <row r="276" spans="1:18" x14ac:dyDescent="0.25">
      <c r="A276" s="4"/>
      <c r="B276" s="18"/>
      <c r="H276" t="s">
        <v>31</v>
      </c>
      <c r="I276">
        <f>(B275*1.2)/20</f>
        <v>0</v>
      </c>
      <c r="J276" t="s">
        <v>149</v>
      </c>
      <c r="K276">
        <f>ROUNDUP(I276,0)</f>
        <v>0</v>
      </c>
      <c r="L276">
        <v>13.12</v>
      </c>
      <c r="N276">
        <f>K276*L276</f>
        <v>0</v>
      </c>
      <c r="R276">
        <f t="shared" si="82"/>
        <v>0</v>
      </c>
    </row>
    <row r="277" spans="1:18" x14ac:dyDescent="0.25">
      <c r="A277" s="35" t="s">
        <v>139</v>
      </c>
      <c r="B277" s="17"/>
      <c r="P277" t="s">
        <v>159</v>
      </c>
      <c r="Q277">
        <v>28.98</v>
      </c>
      <c r="R277">
        <f t="shared" si="82"/>
        <v>0</v>
      </c>
    </row>
    <row r="278" spans="1:18" x14ac:dyDescent="0.25">
      <c r="A278" s="4"/>
      <c r="B278" s="18"/>
      <c r="G278" t="s">
        <v>129</v>
      </c>
      <c r="H278" t="s">
        <v>24</v>
      </c>
      <c r="I278">
        <f>(B273*0.4)/10</f>
        <v>0</v>
      </c>
      <c r="J278" t="s">
        <v>54</v>
      </c>
      <c r="K278">
        <f t="shared" ref="K278" si="83">ROUNDUP(I278,0)</f>
        <v>0</v>
      </c>
      <c r="L278">
        <v>25.73</v>
      </c>
      <c r="N278">
        <f>K278*L278</f>
        <v>0</v>
      </c>
      <c r="R278">
        <f t="shared" si="82"/>
        <v>0</v>
      </c>
    </row>
    <row r="279" spans="1:18" x14ac:dyDescent="0.25">
      <c r="A279" s="35" t="s">
        <v>122</v>
      </c>
      <c r="B279" s="17"/>
      <c r="P279" t="s">
        <v>160</v>
      </c>
      <c r="Q279">
        <v>3.06</v>
      </c>
      <c r="R279">
        <f t="shared" si="82"/>
        <v>0</v>
      </c>
    </row>
    <row r="280" spans="1:18" x14ac:dyDescent="0.25">
      <c r="A280" s="35" t="s">
        <v>137</v>
      </c>
      <c r="B280" s="17"/>
      <c r="G280" t="s">
        <v>140</v>
      </c>
      <c r="H280" t="s">
        <v>130</v>
      </c>
      <c r="I280">
        <f>(B277*12)/20</f>
        <v>0</v>
      </c>
      <c r="J280" t="s">
        <v>130</v>
      </c>
      <c r="K280">
        <f>ROUNDUP(I280,0)</f>
        <v>0</v>
      </c>
      <c r="L280">
        <v>15.07</v>
      </c>
      <c r="N280">
        <f>K280*L280</f>
        <v>0</v>
      </c>
      <c r="P280" t="s">
        <v>161</v>
      </c>
      <c r="Q280">
        <v>3.06</v>
      </c>
      <c r="R280">
        <f t="shared" si="82"/>
        <v>0</v>
      </c>
    </row>
    <row r="281" spans="1:18" x14ac:dyDescent="0.25">
      <c r="A281" s="35" t="s">
        <v>138</v>
      </c>
      <c r="B281" s="44"/>
      <c r="I281" s="4"/>
      <c r="K281" s="4"/>
      <c r="P281" t="s">
        <v>161</v>
      </c>
      <c r="Q281">
        <v>3.06</v>
      </c>
      <c r="R281">
        <f t="shared" si="82"/>
        <v>0</v>
      </c>
    </row>
    <row r="282" spans="1:18" x14ac:dyDescent="0.25">
      <c r="A282" s="4"/>
      <c r="B282" s="45"/>
      <c r="G282" t="s">
        <v>135</v>
      </c>
      <c r="H282" t="s">
        <v>131</v>
      </c>
      <c r="I282" s="33">
        <f>(B279*2*0.222222)/18</f>
        <v>0</v>
      </c>
      <c r="J282" s="33" t="s">
        <v>147</v>
      </c>
      <c r="K282" s="33">
        <f>ROUNDUP(I282,0)</f>
        <v>0</v>
      </c>
      <c r="L282" s="33">
        <v>51.58</v>
      </c>
      <c r="M282" s="33"/>
      <c r="N282">
        <f>K282*L282</f>
        <v>0</v>
      </c>
      <c r="R282">
        <f t="shared" ref="R282:R286" si="84">B282*Q282</f>
        <v>0</v>
      </c>
    </row>
    <row r="283" spans="1:18" x14ac:dyDescent="0.25">
      <c r="A283" s="31" t="s">
        <v>171</v>
      </c>
      <c r="B283" s="42"/>
      <c r="C283" s="43" t="s">
        <v>179</v>
      </c>
      <c r="D283" s="43" t="s">
        <v>79</v>
      </c>
      <c r="E283" s="43" t="s">
        <v>125</v>
      </c>
      <c r="F283" s="43" t="s">
        <v>178</v>
      </c>
      <c r="I283" s="33"/>
      <c r="J283" s="33"/>
      <c r="K283" s="33"/>
      <c r="L283" s="33"/>
      <c r="M283" s="33"/>
      <c r="R283">
        <f t="shared" si="84"/>
        <v>0</v>
      </c>
    </row>
    <row r="284" spans="1:18" x14ac:dyDescent="0.25">
      <c r="A284" s="40" t="s">
        <v>175</v>
      </c>
      <c r="B284" s="17"/>
      <c r="C284" s="47"/>
      <c r="D284" s="17"/>
      <c r="E284" s="46"/>
      <c r="F284" s="46" t="s">
        <v>180</v>
      </c>
      <c r="G284" t="s">
        <v>134</v>
      </c>
      <c r="H284" t="s">
        <v>132</v>
      </c>
      <c r="I284" s="33">
        <f>(B280*2*0.222222)/18</f>
        <v>0</v>
      </c>
      <c r="J284" s="33" t="s">
        <v>145</v>
      </c>
      <c r="K284" s="33">
        <f>ROUNDUP(I284,0)</f>
        <v>0</v>
      </c>
      <c r="L284" s="33">
        <v>74.099999999999994</v>
      </c>
      <c r="M284" s="33"/>
      <c r="N284">
        <f>K284*L284</f>
        <v>0</v>
      </c>
      <c r="R284">
        <f t="shared" si="84"/>
        <v>0</v>
      </c>
    </row>
    <row r="285" spans="1:18" x14ac:dyDescent="0.25">
      <c r="A285" s="40" t="s">
        <v>176</v>
      </c>
      <c r="B285" s="17"/>
      <c r="C285" s="47"/>
      <c r="D285" s="17"/>
      <c r="E285" s="46"/>
      <c r="F285" s="46" t="s">
        <v>180</v>
      </c>
      <c r="G285" t="s">
        <v>136</v>
      </c>
      <c r="H285" t="s">
        <v>133</v>
      </c>
      <c r="I285" s="33">
        <f>(B281*2*0.222222)/18</f>
        <v>0</v>
      </c>
      <c r="J285" s="33" t="s">
        <v>146</v>
      </c>
      <c r="K285" s="33">
        <f>ROUNDUP(I285,0)</f>
        <v>0</v>
      </c>
      <c r="L285" s="33">
        <v>149</v>
      </c>
      <c r="M285" s="33"/>
      <c r="N285">
        <f>K285*L285</f>
        <v>0</v>
      </c>
      <c r="R285">
        <f t="shared" si="84"/>
        <v>0</v>
      </c>
    </row>
    <row r="286" spans="1:18" x14ac:dyDescent="0.25">
      <c r="A286" s="40" t="s">
        <v>177</v>
      </c>
      <c r="B286" s="17"/>
      <c r="C286" s="47"/>
      <c r="D286" s="17"/>
      <c r="E286" s="46"/>
      <c r="F286" s="46" t="s">
        <v>180</v>
      </c>
      <c r="I286" s="33"/>
      <c r="J286" s="33"/>
      <c r="K286" s="33"/>
      <c r="L286" s="33"/>
      <c r="M286" s="33"/>
      <c r="R286">
        <f t="shared" si="84"/>
        <v>0</v>
      </c>
    </row>
    <row r="287" spans="1:18" x14ac:dyDescent="0.25">
      <c r="A287" s="4"/>
      <c r="B287" s="19"/>
      <c r="C287" s="43" t="s">
        <v>579</v>
      </c>
      <c r="G287" s="39" t="s">
        <v>172</v>
      </c>
      <c r="I287" s="32">
        <f>((B284*2)*0.22222)/F284</f>
        <v>0</v>
      </c>
      <c r="J287" s="39" t="s">
        <v>172</v>
      </c>
      <c r="K287" s="33">
        <f>ROUNDUP(I287,0)</f>
        <v>0</v>
      </c>
      <c r="L287" s="33">
        <f>C284</f>
        <v>0</v>
      </c>
      <c r="M287" s="33"/>
      <c r="N287">
        <f t="shared" ref="N287:N289" si="85">K287*L287</f>
        <v>0</v>
      </c>
      <c r="Q287">
        <v>3.06</v>
      </c>
      <c r="R287">
        <f>B284*Q287</f>
        <v>0</v>
      </c>
    </row>
    <row r="288" spans="1:18" x14ac:dyDescent="0.25">
      <c r="A288" s="17" t="s">
        <v>152</v>
      </c>
      <c r="B288" s="17"/>
      <c r="G288" s="39" t="s">
        <v>173</v>
      </c>
      <c r="I288" s="32">
        <f t="shared" ref="I288:I289" si="86">((B285*2)*0.22222)/F285</f>
        <v>0</v>
      </c>
      <c r="J288" s="39" t="s">
        <v>173</v>
      </c>
      <c r="K288" s="33">
        <f t="shared" ref="K288:K289" si="87">ROUNDUP(I288,0)</f>
        <v>0</v>
      </c>
      <c r="L288" s="33">
        <f t="shared" ref="L288:L289" si="88">C285</f>
        <v>0</v>
      </c>
      <c r="M288" s="33"/>
      <c r="N288">
        <f t="shared" si="85"/>
        <v>0</v>
      </c>
      <c r="Q288">
        <v>3.06</v>
      </c>
      <c r="R288">
        <f t="shared" ref="R288:R289" si="89">B285*Q288</f>
        <v>0</v>
      </c>
    </row>
    <row r="289" spans="1:18" x14ac:dyDescent="0.25">
      <c r="A289" s="4"/>
      <c r="B289" s="13"/>
      <c r="G289" s="39" t="s">
        <v>174</v>
      </c>
      <c r="I289" s="32">
        <f t="shared" si="86"/>
        <v>0</v>
      </c>
      <c r="J289" s="39" t="s">
        <v>174</v>
      </c>
      <c r="K289" s="33">
        <f t="shared" si="87"/>
        <v>0</v>
      </c>
      <c r="L289" s="33">
        <f t="shared" si="88"/>
        <v>0</v>
      </c>
      <c r="N289">
        <f t="shared" si="85"/>
        <v>0</v>
      </c>
      <c r="Q289">
        <v>3.06</v>
      </c>
      <c r="R289">
        <f t="shared" si="89"/>
        <v>0</v>
      </c>
    </row>
    <row r="290" spans="1:18" x14ac:dyDescent="0.25">
      <c r="A290" s="4"/>
      <c r="B290" s="4"/>
    </row>
    <row r="291" spans="1:18" x14ac:dyDescent="0.25">
      <c r="A291" s="4" t="s">
        <v>153</v>
      </c>
      <c r="B291" s="34">
        <f>N294/((100-B292)/100)</f>
        <v>0</v>
      </c>
    </row>
    <row r="292" spans="1:18" x14ac:dyDescent="0.25">
      <c r="A292" s="4" t="s">
        <v>67</v>
      </c>
      <c r="B292" s="13">
        <v>0</v>
      </c>
      <c r="C292" s="1"/>
      <c r="G292" t="s">
        <v>96</v>
      </c>
      <c r="N292">
        <f>B288</f>
        <v>0</v>
      </c>
    </row>
    <row r="293" spans="1:18" x14ac:dyDescent="0.25">
      <c r="A293" s="4"/>
      <c r="B293" s="4"/>
    </row>
    <row r="294" spans="1:18" x14ac:dyDescent="0.25">
      <c r="A294" s="4" t="s">
        <v>76</v>
      </c>
      <c r="B294" s="34">
        <f>R294*((100+B295)/100)</f>
        <v>0</v>
      </c>
      <c r="N294">
        <f>SUM(N270:N292)</f>
        <v>0</v>
      </c>
      <c r="R294">
        <f>SUM(R270:R293)</f>
        <v>0</v>
      </c>
    </row>
    <row r="295" spans="1:18" x14ac:dyDescent="0.25">
      <c r="A295" s="4" t="s">
        <v>154</v>
      </c>
      <c r="B295" s="13">
        <v>0</v>
      </c>
    </row>
    <row r="297" spans="1:18" x14ac:dyDescent="0.25">
      <c r="A297" s="22" t="s">
        <v>155</v>
      </c>
      <c r="B297" s="36">
        <f>B291+B294</f>
        <v>0</v>
      </c>
    </row>
    <row r="300" spans="1:18" x14ac:dyDescent="0.25">
      <c r="A300" s="13" t="s">
        <v>164</v>
      </c>
      <c r="B300" s="13" t="s">
        <v>79</v>
      </c>
    </row>
    <row r="301" spans="1:18" x14ac:dyDescent="0.25">
      <c r="A301" s="13" t="s">
        <v>162</v>
      </c>
      <c r="B301" s="4"/>
    </row>
    <row r="302" spans="1:18" x14ac:dyDescent="0.25">
      <c r="A302" s="4"/>
      <c r="B302" s="17" t="s">
        <v>123</v>
      </c>
      <c r="H302" s="1" t="s">
        <v>125</v>
      </c>
      <c r="I302" s="1" t="s">
        <v>144</v>
      </c>
      <c r="J302" t="s">
        <v>125</v>
      </c>
      <c r="K302" s="1" t="s">
        <v>151</v>
      </c>
      <c r="L302" s="13" t="s">
        <v>150</v>
      </c>
      <c r="N302" s="1" t="s">
        <v>126</v>
      </c>
      <c r="Q302" s="1" t="s">
        <v>76</v>
      </c>
      <c r="R302" t="s">
        <v>155</v>
      </c>
    </row>
    <row r="303" spans="1:18" x14ac:dyDescent="0.25">
      <c r="A303" s="35" t="s">
        <v>120</v>
      </c>
      <c r="B303" s="17"/>
      <c r="G303" t="s">
        <v>124</v>
      </c>
      <c r="I303">
        <f>(B303/50)*1.1</f>
        <v>0</v>
      </c>
      <c r="K303">
        <f t="shared" ref="K303" si="90">ROUNDUP(I303,0)</f>
        <v>0</v>
      </c>
      <c r="L303">
        <v>11.26</v>
      </c>
      <c r="N303">
        <f>K303*L303</f>
        <v>0</v>
      </c>
      <c r="P303" t="s">
        <v>156</v>
      </c>
      <c r="Q303">
        <v>1.25</v>
      </c>
      <c r="R303">
        <f>B303*Q303</f>
        <v>0</v>
      </c>
    </row>
    <row r="304" spans="1:18" x14ac:dyDescent="0.25">
      <c r="A304" s="4"/>
      <c r="B304" s="18"/>
    </row>
    <row r="305" spans="1:18" x14ac:dyDescent="0.25">
      <c r="A305" s="35" t="s">
        <v>142</v>
      </c>
      <c r="B305" s="17"/>
      <c r="G305" t="s">
        <v>141</v>
      </c>
      <c r="H305" t="s">
        <v>127</v>
      </c>
      <c r="I305">
        <f>(B305*0.4)/10</f>
        <v>0</v>
      </c>
      <c r="K305">
        <f t="shared" ref="K305" si="91">ROUNDUP(I305,0)</f>
        <v>0</v>
      </c>
      <c r="L305">
        <v>41.1</v>
      </c>
      <c r="N305">
        <f>K305*L305</f>
        <v>0</v>
      </c>
      <c r="P305" t="s">
        <v>157</v>
      </c>
      <c r="Q305">
        <v>0.72</v>
      </c>
      <c r="R305">
        <f t="shared" ref="R305:R314" si="92">B305*Q305</f>
        <v>0</v>
      </c>
    </row>
    <row r="306" spans="1:18" x14ac:dyDescent="0.25">
      <c r="A306" s="35" t="s">
        <v>143</v>
      </c>
      <c r="B306" s="17"/>
      <c r="P306" t="s">
        <v>157</v>
      </c>
      <c r="Q306">
        <v>0.72</v>
      </c>
      <c r="R306">
        <f t="shared" si="92"/>
        <v>0</v>
      </c>
    </row>
    <row r="307" spans="1:18" x14ac:dyDescent="0.25">
      <c r="A307" s="4"/>
      <c r="B307" s="18"/>
      <c r="R307">
        <f t="shared" si="92"/>
        <v>0</v>
      </c>
    </row>
    <row r="308" spans="1:18" x14ac:dyDescent="0.25">
      <c r="A308" s="35" t="s">
        <v>121</v>
      </c>
      <c r="B308" s="17"/>
      <c r="C308" s="25" t="s">
        <v>580</v>
      </c>
      <c r="G308" t="s">
        <v>128</v>
      </c>
      <c r="H308" t="s">
        <v>30</v>
      </c>
      <c r="I308">
        <f>(B308*1.2)/20</f>
        <v>0</v>
      </c>
      <c r="J308" t="s">
        <v>148</v>
      </c>
      <c r="K308">
        <f>ROUNDUP(I308,0)</f>
        <v>0</v>
      </c>
      <c r="L308">
        <v>11.9</v>
      </c>
      <c r="N308">
        <f>K308*L308</f>
        <v>0</v>
      </c>
      <c r="P308" t="s">
        <v>158</v>
      </c>
      <c r="Q308">
        <v>3.96</v>
      </c>
      <c r="R308">
        <f t="shared" si="92"/>
        <v>0</v>
      </c>
    </row>
    <row r="309" spans="1:18" x14ac:dyDescent="0.25">
      <c r="A309" s="4"/>
      <c r="B309" s="18"/>
      <c r="H309" t="s">
        <v>31</v>
      </c>
      <c r="I309">
        <f>(B308*1.2)/20</f>
        <v>0</v>
      </c>
      <c r="J309" t="s">
        <v>149</v>
      </c>
      <c r="K309">
        <f>ROUNDUP(I309,0)</f>
        <v>0</v>
      </c>
      <c r="L309">
        <v>13.12</v>
      </c>
      <c r="N309">
        <f>K309*L309</f>
        <v>0</v>
      </c>
      <c r="R309">
        <f t="shared" si="92"/>
        <v>0</v>
      </c>
    </row>
    <row r="310" spans="1:18" x14ac:dyDescent="0.25">
      <c r="A310" s="35" t="s">
        <v>139</v>
      </c>
      <c r="B310" s="17"/>
      <c r="P310" t="s">
        <v>159</v>
      </c>
      <c r="Q310">
        <v>28.98</v>
      </c>
      <c r="R310">
        <f t="shared" si="92"/>
        <v>0</v>
      </c>
    </row>
    <row r="311" spans="1:18" x14ac:dyDescent="0.25">
      <c r="A311" s="4"/>
      <c r="B311" s="18"/>
      <c r="G311" t="s">
        <v>129</v>
      </c>
      <c r="H311" t="s">
        <v>24</v>
      </c>
      <c r="I311">
        <f>(B306*0.4)/10</f>
        <v>0</v>
      </c>
      <c r="J311" t="s">
        <v>54</v>
      </c>
      <c r="K311">
        <f t="shared" ref="K311" si="93">ROUNDUP(I311,0)</f>
        <v>0</v>
      </c>
      <c r="L311">
        <v>25.73</v>
      </c>
      <c r="N311">
        <f>K311*L311</f>
        <v>0</v>
      </c>
      <c r="R311">
        <f t="shared" si="92"/>
        <v>0</v>
      </c>
    </row>
    <row r="312" spans="1:18" x14ac:dyDescent="0.25">
      <c r="A312" s="35" t="s">
        <v>122</v>
      </c>
      <c r="B312" s="17"/>
      <c r="P312" t="s">
        <v>160</v>
      </c>
      <c r="Q312">
        <v>3.06</v>
      </c>
      <c r="R312">
        <f t="shared" si="92"/>
        <v>0</v>
      </c>
    </row>
    <row r="313" spans="1:18" x14ac:dyDescent="0.25">
      <c r="A313" s="35" t="s">
        <v>137</v>
      </c>
      <c r="B313" s="17"/>
      <c r="G313" t="s">
        <v>140</v>
      </c>
      <c r="H313" t="s">
        <v>130</v>
      </c>
      <c r="I313">
        <f>(B310*12)/20</f>
        <v>0</v>
      </c>
      <c r="J313" t="s">
        <v>130</v>
      </c>
      <c r="K313">
        <f>ROUNDUP(I313,0)</f>
        <v>0</v>
      </c>
      <c r="L313">
        <v>15.07</v>
      </c>
      <c r="N313">
        <f>K313*L313</f>
        <v>0</v>
      </c>
      <c r="P313" t="s">
        <v>161</v>
      </c>
      <c r="Q313">
        <v>3.06</v>
      </c>
      <c r="R313">
        <f t="shared" si="92"/>
        <v>0</v>
      </c>
    </row>
    <row r="314" spans="1:18" x14ac:dyDescent="0.25">
      <c r="A314" s="35" t="s">
        <v>138</v>
      </c>
      <c r="B314" s="44"/>
      <c r="I314" s="4"/>
      <c r="K314" s="4"/>
      <c r="P314" t="s">
        <v>161</v>
      </c>
      <c r="Q314">
        <v>3.06</v>
      </c>
      <c r="R314">
        <f t="shared" si="92"/>
        <v>0</v>
      </c>
    </row>
    <row r="315" spans="1:18" x14ac:dyDescent="0.25">
      <c r="A315" s="4"/>
      <c r="B315" s="45"/>
      <c r="G315" t="s">
        <v>135</v>
      </c>
      <c r="H315" t="s">
        <v>131</v>
      </c>
      <c r="I315" s="33">
        <f>(B312*2*0.222222)/18</f>
        <v>0</v>
      </c>
      <c r="J315" s="33" t="s">
        <v>147</v>
      </c>
      <c r="K315" s="33">
        <f>ROUNDUP(I315,0)</f>
        <v>0</v>
      </c>
      <c r="L315" s="33">
        <v>51.58</v>
      </c>
      <c r="M315" s="33"/>
      <c r="N315">
        <f>K315*L315</f>
        <v>0</v>
      </c>
      <c r="R315">
        <f t="shared" ref="R315:R319" si="94">B315*Q315</f>
        <v>0</v>
      </c>
    </row>
    <row r="316" spans="1:18" x14ac:dyDescent="0.25">
      <c r="A316" s="31" t="s">
        <v>171</v>
      </c>
      <c r="B316" s="42"/>
      <c r="C316" s="43" t="s">
        <v>179</v>
      </c>
      <c r="D316" s="43" t="s">
        <v>79</v>
      </c>
      <c r="E316" s="43" t="s">
        <v>125</v>
      </c>
      <c r="F316" s="43" t="s">
        <v>178</v>
      </c>
      <c r="I316" s="33"/>
      <c r="J316" s="33"/>
      <c r="K316" s="33"/>
      <c r="L316" s="33"/>
      <c r="M316" s="33"/>
      <c r="R316">
        <f t="shared" si="94"/>
        <v>0</v>
      </c>
    </row>
    <row r="317" spans="1:18" x14ac:dyDescent="0.25">
      <c r="A317" s="40" t="s">
        <v>175</v>
      </c>
      <c r="B317" s="17"/>
      <c r="C317" s="47"/>
      <c r="D317" s="17"/>
      <c r="E317" s="46"/>
      <c r="F317" s="46" t="s">
        <v>180</v>
      </c>
      <c r="G317" t="s">
        <v>134</v>
      </c>
      <c r="H317" t="s">
        <v>132</v>
      </c>
      <c r="I317" s="33">
        <f>(B313*2*0.222222)/18</f>
        <v>0</v>
      </c>
      <c r="J317" s="33" t="s">
        <v>145</v>
      </c>
      <c r="K317" s="33">
        <f>ROUNDUP(I317,0)</f>
        <v>0</v>
      </c>
      <c r="L317" s="33">
        <v>74.099999999999994</v>
      </c>
      <c r="M317" s="33"/>
      <c r="N317">
        <f>K317*L317</f>
        <v>0</v>
      </c>
      <c r="R317">
        <f t="shared" si="94"/>
        <v>0</v>
      </c>
    </row>
    <row r="318" spans="1:18" x14ac:dyDescent="0.25">
      <c r="A318" s="40" t="s">
        <v>176</v>
      </c>
      <c r="B318" s="17"/>
      <c r="C318" s="47"/>
      <c r="D318" s="17"/>
      <c r="E318" s="46"/>
      <c r="F318" s="46" t="s">
        <v>180</v>
      </c>
      <c r="G318" t="s">
        <v>136</v>
      </c>
      <c r="H318" t="s">
        <v>133</v>
      </c>
      <c r="I318" s="33">
        <f>(B314*2*0.222222)/18</f>
        <v>0</v>
      </c>
      <c r="J318" s="33" t="s">
        <v>146</v>
      </c>
      <c r="K318" s="33">
        <f>ROUNDUP(I318,0)</f>
        <v>0</v>
      </c>
      <c r="L318" s="33">
        <v>149</v>
      </c>
      <c r="M318" s="33"/>
      <c r="N318">
        <f>K318*L318</f>
        <v>0</v>
      </c>
      <c r="R318">
        <f t="shared" si="94"/>
        <v>0</v>
      </c>
    </row>
    <row r="319" spans="1:18" x14ac:dyDescent="0.25">
      <c r="A319" s="40" t="s">
        <v>177</v>
      </c>
      <c r="B319" s="17"/>
      <c r="C319" s="47"/>
      <c r="D319" s="17"/>
      <c r="E319" s="46"/>
      <c r="F319" s="46" t="s">
        <v>180</v>
      </c>
      <c r="I319" s="33"/>
      <c r="J319" s="33"/>
      <c r="K319" s="33"/>
      <c r="L319" s="33"/>
      <c r="M319" s="33"/>
      <c r="R319">
        <f t="shared" si="94"/>
        <v>0</v>
      </c>
    </row>
    <row r="320" spans="1:18" x14ac:dyDescent="0.25">
      <c r="A320" s="4"/>
      <c r="B320" s="19"/>
      <c r="C320" s="43" t="s">
        <v>579</v>
      </c>
      <c r="G320" s="39" t="s">
        <v>172</v>
      </c>
      <c r="I320" s="32">
        <f>((B317*2)*0.22222)/F317</f>
        <v>0</v>
      </c>
      <c r="J320" s="39" t="s">
        <v>172</v>
      </c>
      <c r="K320" s="33">
        <f>ROUNDUP(I320,0)</f>
        <v>0</v>
      </c>
      <c r="L320" s="33">
        <f>C317</f>
        <v>0</v>
      </c>
      <c r="M320" s="33"/>
      <c r="N320">
        <f t="shared" ref="N320:N322" si="95">K320*L320</f>
        <v>0</v>
      </c>
      <c r="Q320">
        <v>3.06</v>
      </c>
      <c r="R320">
        <f>B317*Q320</f>
        <v>0</v>
      </c>
    </row>
    <row r="321" spans="1:18" x14ac:dyDescent="0.25">
      <c r="A321" s="17" t="s">
        <v>152</v>
      </c>
      <c r="B321" s="17"/>
      <c r="G321" s="39" t="s">
        <v>173</v>
      </c>
      <c r="I321" s="32">
        <f t="shared" ref="I321:I322" si="96">((B318*2)*0.22222)/F318</f>
        <v>0</v>
      </c>
      <c r="J321" s="39" t="s">
        <v>173</v>
      </c>
      <c r="K321" s="33">
        <f t="shared" ref="K321:K322" si="97">ROUNDUP(I321,0)</f>
        <v>0</v>
      </c>
      <c r="L321" s="33">
        <f t="shared" ref="L321:L322" si="98">C318</f>
        <v>0</v>
      </c>
      <c r="M321" s="33"/>
      <c r="N321">
        <f t="shared" si="95"/>
        <v>0</v>
      </c>
      <c r="Q321">
        <v>3.06</v>
      </c>
      <c r="R321">
        <f t="shared" ref="R321:R322" si="99">B318*Q321</f>
        <v>0</v>
      </c>
    </row>
    <row r="322" spans="1:18" x14ac:dyDescent="0.25">
      <c r="A322" s="4"/>
      <c r="B322" s="13"/>
      <c r="G322" s="39" t="s">
        <v>174</v>
      </c>
      <c r="I322" s="32">
        <f t="shared" si="96"/>
        <v>0</v>
      </c>
      <c r="J322" s="39" t="s">
        <v>174</v>
      </c>
      <c r="K322" s="33">
        <f t="shared" si="97"/>
        <v>0</v>
      </c>
      <c r="L322" s="33">
        <f t="shared" si="98"/>
        <v>0</v>
      </c>
      <c r="N322">
        <f t="shared" si="95"/>
        <v>0</v>
      </c>
      <c r="Q322">
        <v>3.06</v>
      </c>
      <c r="R322">
        <f t="shared" si="99"/>
        <v>0</v>
      </c>
    </row>
    <row r="323" spans="1:18" x14ac:dyDescent="0.25">
      <c r="A323" s="4"/>
      <c r="B323" s="4"/>
    </row>
    <row r="324" spans="1:18" x14ac:dyDescent="0.25">
      <c r="A324" s="4" t="s">
        <v>153</v>
      </c>
      <c r="B324" s="34">
        <f>N327/((100-B325)/100)</f>
        <v>0</v>
      </c>
    </row>
    <row r="325" spans="1:18" x14ac:dyDescent="0.25">
      <c r="A325" s="4" t="s">
        <v>67</v>
      </c>
      <c r="B325" s="13">
        <v>0</v>
      </c>
      <c r="C325" s="1"/>
      <c r="G325" t="s">
        <v>96</v>
      </c>
      <c r="N325">
        <f>B321</f>
        <v>0</v>
      </c>
    </row>
    <row r="326" spans="1:18" x14ac:dyDescent="0.25">
      <c r="A326" s="4"/>
      <c r="B326" s="4"/>
    </row>
    <row r="327" spans="1:18" x14ac:dyDescent="0.25">
      <c r="A327" s="4" t="s">
        <v>76</v>
      </c>
      <c r="B327" s="34">
        <f>R327*((100+B328)/100)</f>
        <v>0</v>
      </c>
      <c r="N327">
        <f>SUM(N303:N325)</f>
        <v>0</v>
      </c>
      <c r="R327">
        <f>SUM(R303:R326)</f>
        <v>0</v>
      </c>
    </row>
    <row r="328" spans="1:18" x14ac:dyDescent="0.25">
      <c r="A328" s="4" t="s">
        <v>154</v>
      </c>
      <c r="B328" s="13">
        <v>0</v>
      </c>
    </row>
    <row r="330" spans="1:18" x14ac:dyDescent="0.25">
      <c r="A330" s="22" t="s">
        <v>155</v>
      </c>
      <c r="B330" s="36">
        <f>B324+B327</f>
        <v>0</v>
      </c>
    </row>
    <row r="333" spans="1:18" x14ac:dyDescent="0.25">
      <c r="A333" s="13" t="s">
        <v>165</v>
      </c>
      <c r="B333" s="13" t="s">
        <v>79</v>
      </c>
    </row>
    <row r="334" spans="1:18" x14ac:dyDescent="0.25">
      <c r="A334" s="13" t="s">
        <v>162</v>
      </c>
      <c r="B334" s="4"/>
    </row>
    <row r="335" spans="1:18" x14ac:dyDescent="0.25">
      <c r="A335" s="4"/>
      <c r="B335" s="17" t="s">
        <v>123</v>
      </c>
      <c r="H335" s="1" t="s">
        <v>125</v>
      </c>
      <c r="I335" s="1" t="s">
        <v>144</v>
      </c>
      <c r="J335" t="s">
        <v>125</v>
      </c>
      <c r="K335" s="1" t="s">
        <v>151</v>
      </c>
      <c r="L335" s="13" t="s">
        <v>150</v>
      </c>
      <c r="N335" s="1" t="s">
        <v>126</v>
      </c>
      <c r="Q335" s="1" t="s">
        <v>76</v>
      </c>
      <c r="R335" t="s">
        <v>155</v>
      </c>
    </row>
    <row r="336" spans="1:18" x14ac:dyDescent="0.25">
      <c r="A336" s="35" t="s">
        <v>120</v>
      </c>
      <c r="B336" s="17"/>
      <c r="G336" t="s">
        <v>124</v>
      </c>
      <c r="I336">
        <f>(B336/50)*1.1</f>
        <v>0</v>
      </c>
      <c r="K336">
        <f t="shared" ref="K336" si="100">ROUNDUP(I336,0)</f>
        <v>0</v>
      </c>
      <c r="L336">
        <v>11.26</v>
      </c>
      <c r="N336">
        <f>K336*L336</f>
        <v>0</v>
      </c>
      <c r="P336" t="s">
        <v>156</v>
      </c>
      <c r="Q336">
        <v>1.25</v>
      </c>
      <c r="R336">
        <f>B336*Q336</f>
        <v>0</v>
      </c>
    </row>
    <row r="337" spans="1:18" x14ac:dyDescent="0.25">
      <c r="A337" s="4"/>
      <c r="B337" s="18"/>
    </row>
    <row r="338" spans="1:18" x14ac:dyDescent="0.25">
      <c r="A338" s="35" t="s">
        <v>142</v>
      </c>
      <c r="B338" s="17"/>
      <c r="G338" t="s">
        <v>141</v>
      </c>
      <c r="H338" t="s">
        <v>127</v>
      </c>
      <c r="I338">
        <f>(B338*0.4)/10</f>
        <v>0</v>
      </c>
      <c r="K338">
        <f t="shared" ref="K338" si="101">ROUNDUP(I338,0)</f>
        <v>0</v>
      </c>
      <c r="L338">
        <v>41.1</v>
      </c>
      <c r="N338">
        <f>K338*L338</f>
        <v>0</v>
      </c>
      <c r="P338" t="s">
        <v>157</v>
      </c>
      <c r="Q338">
        <v>0.72</v>
      </c>
      <c r="R338">
        <f t="shared" ref="R338:R347" si="102">B338*Q338</f>
        <v>0</v>
      </c>
    </row>
    <row r="339" spans="1:18" x14ac:dyDescent="0.25">
      <c r="A339" s="35" t="s">
        <v>143</v>
      </c>
      <c r="B339" s="17"/>
      <c r="P339" t="s">
        <v>157</v>
      </c>
      <c r="Q339">
        <v>0.72</v>
      </c>
      <c r="R339">
        <f t="shared" si="102"/>
        <v>0</v>
      </c>
    </row>
    <row r="340" spans="1:18" x14ac:dyDescent="0.25">
      <c r="A340" s="4"/>
      <c r="B340" s="18"/>
      <c r="R340">
        <f t="shared" si="102"/>
        <v>0</v>
      </c>
    </row>
    <row r="341" spans="1:18" x14ac:dyDescent="0.25">
      <c r="A341" s="35" t="s">
        <v>121</v>
      </c>
      <c r="B341" s="17"/>
      <c r="C341" s="25" t="s">
        <v>580</v>
      </c>
      <c r="G341" t="s">
        <v>128</v>
      </c>
      <c r="H341" t="s">
        <v>30</v>
      </c>
      <c r="I341">
        <f>(B341*1.2)/20</f>
        <v>0</v>
      </c>
      <c r="J341" t="s">
        <v>148</v>
      </c>
      <c r="K341">
        <f>ROUNDUP(I341,0)</f>
        <v>0</v>
      </c>
      <c r="L341">
        <v>11.9</v>
      </c>
      <c r="N341">
        <f>K341*L341</f>
        <v>0</v>
      </c>
      <c r="P341" t="s">
        <v>158</v>
      </c>
      <c r="Q341">
        <v>3.96</v>
      </c>
      <c r="R341">
        <f t="shared" si="102"/>
        <v>0</v>
      </c>
    </row>
    <row r="342" spans="1:18" x14ac:dyDescent="0.25">
      <c r="A342" s="4"/>
      <c r="B342" s="18"/>
      <c r="H342" t="s">
        <v>31</v>
      </c>
      <c r="I342">
        <f>(B341*1.2)/20</f>
        <v>0</v>
      </c>
      <c r="J342" t="s">
        <v>149</v>
      </c>
      <c r="K342">
        <f>ROUNDUP(I342,0)</f>
        <v>0</v>
      </c>
      <c r="L342">
        <v>13.12</v>
      </c>
      <c r="N342">
        <f>K342*L342</f>
        <v>0</v>
      </c>
      <c r="R342">
        <f t="shared" si="102"/>
        <v>0</v>
      </c>
    </row>
    <row r="343" spans="1:18" x14ac:dyDescent="0.25">
      <c r="A343" s="35" t="s">
        <v>139</v>
      </c>
      <c r="B343" s="17"/>
      <c r="P343" t="s">
        <v>159</v>
      </c>
      <c r="Q343">
        <v>28.98</v>
      </c>
      <c r="R343">
        <f t="shared" si="102"/>
        <v>0</v>
      </c>
    </row>
    <row r="344" spans="1:18" x14ac:dyDescent="0.25">
      <c r="A344" s="4"/>
      <c r="B344" s="18"/>
      <c r="G344" t="s">
        <v>129</v>
      </c>
      <c r="H344" t="s">
        <v>24</v>
      </c>
      <c r="I344">
        <f>(B339*0.4)/10</f>
        <v>0</v>
      </c>
      <c r="J344" t="s">
        <v>54</v>
      </c>
      <c r="K344">
        <f t="shared" ref="K344" si="103">ROUNDUP(I344,0)</f>
        <v>0</v>
      </c>
      <c r="L344">
        <v>25.73</v>
      </c>
      <c r="N344">
        <f>K344*L344</f>
        <v>0</v>
      </c>
      <c r="R344">
        <f t="shared" si="102"/>
        <v>0</v>
      </c>
    </row>
    <row r="345" spans="1:18" x14ac:dyDescent="0.25">
      <c r="A345" s="35" t="s">
        <v>122</v>
      </c>
      <c r="B345" s="17"/>
      <c r="P345" t="s">
        <v>160</v>
      </c>
      <c r="Q345">
        <v>3.06</v>
      </c>
      <c r="R345">
        <f t="shared" si="102"/>
        <v>0</v>
      </c>
    </row>
    <row r="346" spans="1:18" x14ac:dyDescent="0.25">
      <c r="A346" s="35" t="s">
        <v>137</v>
      </c>
      <c r="B346" s="17"/>
      <c r="G346" t="s">
        <v>140</v>
      </c>
      <c r="H346" t="s">
        <v>130</v>
      </c>
      <c r="I346">
        <f>(B343*12)/20</f>
        <v>0</v>
      </c>
      <c r="J346" t="s">
        <v>130</v>
      </c>
      <c r="K346">
        <f>ROUNDUP(I346,0)</f>
        <v>0</v>
      </c>
      <c r="L346">
        <v>15.07</v>
      </c>
      <c r="N346">
        <f>K346*L346</f>
        <v>0</v>
      </c>
      <c r="P346" t="s">
        <v>161</v>
      </c>
      <c r="Q346">
        <v>3.06</v>
      </c>
      <c r="R346">
        <f t="shared" si="102"/>
        <v>0</v>
      </c>
    </row>
    <row r="347" spans="1:18" x14ac:dyDescent="0.25">
      <c r="A347" s="35" t="s">
        <v>138</v>
      </c>
      <c r="B347" s="44"/>
      <c r="I347" s="4"/>
      <c r="K347" s="4"/>
      <c r="P347" t="s">
        <v>161</v>
      </c>
      <c r="Q347">
        <v>3.06</v>
      </c>
      <c r="R347">
        <f t="shared" si="102"/>
        <v>0</v>
      </c>
    </row>
    <row r="348" spans="1:18" x14ac:dyDescent="0.25">
      <c r="A348" s="4"/>
      <c r="B348" s="45"/>
      <c r="G348" t="s">
        <v>135</v>
      </c>
      <c r="H348" t="s">
        <v>131</v>
      </c>
      <c r="I348" s="33">
        <f>(B345*2*0.222222)/18</f>
        <v>0</v>
      </c>
      <c r="J348" s="33" t="s">
        <v>147</v>
      </c>
      <c r="K348" s="33">
        <f>ROUNDUP(I348,0)</f>
        <v>0</v>
      </c>
      <c r="L348" s="33">
        <v>51.58</v>
      </c>
      <c r="M348" s="33"/>
      <c r="N348">
        <f>K348*L348</f>
        <v>0</v>
      </c>
      <c r="R348">
        <f t="shared" ref="R348:R352" si="104">B348*Q348</f>
        <v>0</v>
      </c>
    </row>
    <row r="349" spans="1:18" x14ac:dyDescent="0.25">
      <c r="A349" s="31" t="s">
        <v>171</v>
      </c>
      <c r="B349" s="42"/>
      <c r="C349" s="43" t="s">
        <v>179</v>
      </c>
      <c r="D349" s="43" t="s">
        <v>79</v>
      </c>
      <c r="E349" s="43" t="s">
        <v>125</v>
      </c>
      <c r="F349" s="43" t="s">
        <v>178</v>
      </c>
      <c r="I349" s="33"/>
      <c r="J349" s="33"/>
      <c r="K349" s="33"/>
      <c r="L349" s="33"/>
      <c r="M349" s="33"/>
      <c r="R349">
        <f t="shared" si="104"/>
        <v>0</v>
      </c>
    </row>
    <row r="350" spans="1:18" x14ac:dyDescent="0.25">
      <c r="A350" s="40" t="s">
        <v>175</v>
      </c>
      <c r="B350" s="17"/>
      <c r="C350" s="47"/>
      <c r="D350" s="17"/>
      <c r="E350" s="46"/>
      <c r="F350" s="46" t="s">
        <v>180</v>
      </c>
      <c r="G350" t="s">
        <v>134</v>
      </c>
      <c r="H350" t="s">
        <v>132</v>
      </c>
      <c r="I350" s="33">
        <f>(B346*2*0.222222)/18</f>
        <v>0</v>
      </c>
      <c r="J350" s="33" t="s">
        <v>145</v>
      </c>
      <c r="K350" s="33">
        <f>ROUNDUP(I350,0)</f>
        <v>0</v>
      </c>
      <c r="L350" s="33">
        <v>74.099999999999994</v>
      </c>
      <c r="M350" s="33"/>
      <c r="N350">
        <f>K350*L350</f>
        <v>0</v>
      </c>
      <c r="R350">
        <f t="shared" si="104"/>
        <v>0</v>
      </c>
    </row>
    <row r="351" spans="1:18" x14ac:dyDescent="0.25">
      <c r="A351" s="40" t="s">
        <v>176</v>
      </c>
      <c r="B351" s="17"/>
      <c r="C351" s="47"/>
      <c r="D351" s="17"/>
      <c r="E351" s="46"/>
      <c r="F351" s="46" t="s">
        <v>180</v>
      </c>
      <c r="G351" t="s">
        <v>136</v>
      </c>
      <c r="H351" t="s">
        <v>133</v>
      </c>
      <c r="I351" s="33">
        <f>(B347*2*0.222222)/18</f>
        <v>0</v>
      </c>
      <c r="J351" s="33" t="s">
        <v>146</v>
      </c>
      <c r="K351" s="33">
        <f>ROUNDUP(I351,0)</f>
        <v>0</v>
      </c>
      <c r="L351" s="33">
        <v>149</v>
      </c>
      <c r="M351" s="33"/>
      <c r="N351">
        <f>K351*L351</f>
        <v>0</v>
      </c>
      <c r="R351">
        <f t="shared" si="104"/>
        <v>0</v>
      </c>
    </row>
    <row r="352" spans="1:18" x14ac:dyDescent="0.25">
      <c r="A352" s="40" t="s">
        <v>177</v>
      </c>
      <c r="B352" s="17"/>
      <c r="C352" s="47"/>
      <c r="D352" s="17"/>
      <c r="E352" s="46"/>
      <c r="F352" s="46" t="s">
        <v>180</v>
      </c>
      <c r="I352" s="33"/>
      <c r="J352" s="33"/>
      <c r="K352" s="33"/>
      <c r="L352" s="33"/>
      <c r="M352" s="33"/>
      <c r="R352">
        <f t="shared" si="104"/>
        <v>0</v>
      </c>
    </row>
    <row r="353" spans="1:18" x14ac:dyDescent="0.25">
      <c r="A353" s="4"/>
      <c r="B353" s="19"/>
      <c r="C353" s="43" t="s">
        <v>579</v>
      </c>
      <c r="G353" s="39" t="s">
        <v>172</v>
      </c>
      <c r="I353" s="32">
        <f>((B350*2)*0.22222)/F350</f>
        <v>0</v>
      </c>
      <c r="J353" s="39" t="s">
        <v>172</v>
      </c>
      <c r="K353" s="33">
        <f>ROUNDUP(I353,0)</f>
        <v>0</v>
      </c>
      <c r="L353" s="33">
        <f>C350</f>
        <v>0</v>
      </c>
      <c r="M353" s="33"/>
      <c r="N353">
        <f t="shared" ref="N353:N355" si="105">K353*L353</f>
        <v>0</v>
      </c>
      <c r="Q353">
        <v>3.06</v>
      </c>
      <c r="R353">
        <f>B350*Q353</f>
        <v>0</v>
      </c>
    </row>
    <row r="354" spans="1:18" x14ac:dyDescent="0.25">
      <c r="A354" s="17" t="s">
        <v>152</v>
      </c>
      <c r="B354" s="17"/>
      <c r="G354" s="39" t="s">
        <v>173</v>
      </c>
      <c r="I354" s="32">
        <f t="shared" ref="I354:I355" si="106">((B351*2)*0.22222)/F351</f>
        <v>0</v>
      </c>
      <c r="J354" s="39" t="s">
        <v>173</v>
      </c>
      <c r="K354" s="33">
        <f t="shared" ref="K354:K355" si="107">ROUNDUP(I354,0)</f>
        <v>0</v>
      </c>
      <c r="L354" s="33">
        <f t="shared" ref="L354:L355" si="108">C351</f>
        <v>0</v>
      </c>
      <c r="M354" s="33"/>
      <c r="N354">
        <f t="shared" si="105"/>
        <v>0</v>
      </c>
      <c r="Q354">
        <v>3.06</v>
      </c>
      <c r="R354">
        <f t="shared" ref="R354:R355" si="109">B351*Q354</f>
        <v>0</v>
      </c>
    </row>
    <row r="355" spans="1:18" x14ac:dyDescent="0.25">
      <c r="A355" s="4"/>
      <c r="B355" s="13"/>
      <c r="G355" s="39" t="s">
        <v>174</v>
      </c>
      <c r="I355" s="32">
        <f t="shared" si="106"/>
        <v>0</v>
      </c>
      <c r="J355" s="39" t="s">
        <v>174</v>
      </c>
      <c r="K355" s="33">
        <f t="shared" si="107"/>
        <v>0</v>
      </c>
      <c r="L355" s="33">
        <f t="shared" si="108"/>
        <v>0</v>
      </c>
      <c r="N355">
        <f t="shared" si="105"/>
        <v>0</v>
      </c>
      <c r="Q355">
        <v>3.06</v>
      </c>
      <c r="R355">
        <f t="shared" si="109"/>
        <v>0</v>
      </c>
    </row>
    <row r="356" spans="1:18" x14ac:dyDescent="0.25">
      <c r="A356" s="4"/>
      <c r="B356" s="4"/>
    </row>
    <row r="357" spans="1:18" x14ac:dyDescent="0.25">
      <c r="A357" s="4" t="s">
        <v>153</v>
      </c>
      <c r="B357" s="34">
        <f>N360/((100-B358)/100)</f>
        <v>0</v>
      </c>
    </row>
    <row r="358" spans="1:18" x14ac:dyDescent="0.25">
      <c r="A358" s="4" t="s">
        <v>67</v>
      </c>
      <c r="B358" s="13">
        <v>0</v>
      </c>
      <c r="C358" s="1"/>
      <c r="G358" t="s">
        <v>96</v>
      </c>
      <c r="N358">
        <f>B354</f>
        <v>0</v>
      </c>
    </row>
    <row r="359" spans="1:18" x14ac:dyDescent="0.25">
      <c r="A359" s="4"/>
      <c r="B359" s="4"/>
    </row>
    <row r="360" spans="1:18" x14ac:dyDescent="0.25">
      <c r="A360" s="4" t="s">
        <v>76</v>
      </c>
      <c r="B360" s="34">
        <f>R360*((100+B361)/100)</f>
        <v>0</v>
      </c>
      <c r="N360">
        <f>SUM(N336:N358)</f>
        <v>0</v>
      </c>
      <c r="R360">
        <f>SUM(R336:R359)</f>
        <v>0</v>
      </c>
    </row>
    <row r="361" spans="1:18" x14ac:dyDescent="0.25">
      <c r="A361" s="4" t="s">
        <v>154</v>
      </c>
      <c r="B361" s="13">
        <v>0</v>
      </c>
    </row>
    <row r="363" spans="1:18" x14ac:dyDescent="0.25">
      <c r="A363" s="22" t="s">
        <v>155</v>
      </c>
      <c r="B363" s="36">
        <f>B357+B360</f>
        <v>0</v>
      </c>
    </row>
    <row r="366" spans="1:18" x14ac:dyDescent="0.25">
      <c r="A366" s="13" t="s">
        <v>166</v>
      </c>
      <c r="B366" s="13" t="s">
        <v>79</v>
      </c>
    </row>
    <row r="367" spans="1:18" x14ac:dyDescent="0.25">
      <c r="A367" s="13" t="s">
        <v>162</v>
      </c>
      <c r="B367" s="4"/>
    </row>
    <row r="368" spans="1:18" x14ac:dyDescent="0.25">
      <c r="A368" s="4"/>
      <c r="B368" s="17" t="s">
        <v>123</v>
      </c>
      <c r="H368" s="1" t="s">
        <v>125</v>
      </c>
      <c r="I368" s="1" t="s">
        <v>144</v>
      </c>
      <c r="J368" t="s">
        <v>125</v>
      </c>
      <c r="K368" s="1" t="s">
        <v>151</v>
      </c>
      <c r="L368" s="13" t="s">
        <v>150</v>
      </c>
      <c r="N368" s="1" t="s">
        <v>126</v>
      </c>
      <c r="Q368" s="1" t="s">
        <v>76</v>
      </c>
      <c r="R368" t="s">
        <v>155</v>
      </c>
    </row>
    <row r="369" spans="1:18" x14ac:dyDescent="0.25">
      <c r="A369" s="35" t="s">
        <v>120</v>
      </c>
      <c r="B369" s="17"/>
      <c r="G369" t="s">
        <v>124</v>
      </c>
      <c r="I369">
        <f>(B369/50)*1.1</f>
        <v>0</v>
      </c>
      <c r="K369">
        <f t="shared" ref="K369" si="110">ROUNDUP(I369,0)</f>
        <v>0</v>
      </c>
      <c r="L369">
        <v>11.26</v>
      </c>
      <c r="N369">
        <f>K369*L369</f>
        <v>0</v>
      </c>
      <c r="P369" t="s">
        <v>156</v>
      </c>
      <c r="Q369">
        <v>1.25</v>
      </c>
      <c r="R369">
        <f>B369*Q369</f>
        <v>0</v>
      </c>
    </row>
    <row r="370" spans="1:18" x14ac:dyDescent="0.25">
      <c r="A370" s="4"/>
      <c r="B370" s="18"/>
    </row>
    <row r="371" spans="1:18" x14ac:dyDescent="0.25">
      <c r="A371" s="35" t="s">
        <v>142</v>
      </c>
      <c r="B371" s="17"/>
      <c r="G371" t="s">
        <v>141</v>
      </c>
      <c r="H371" t="s">
        <v>127</v>
      </c>
      <c r="I371">
        <f>(B371*0.4)/10</f>
        <v>0</v>
      </c>
      <c r="K371">
        <f t="shared" ref="K371" si="111">ROUNDUP(I371,0)</f>
        <v>0</v>
      </c>
      <c r="L371">
        <v>41.1</v>
      </c>
      <c r="N371">
        <f>K371*L371</f>
        <v>0</v>
      </c>
      <c r="P371" t="s">
        <v>157</v>
      </c>
      <c r="Q371">
        <v>0.72</v>
      </c>
      <c r="R371">
        <f t="shared" ref="R371:R380" si="112">B371*Q371</f>
        <v>0</v>
      </c>
    </row>
    <row r="372" spans="1:18" x14ac:dyDescent="0.25">
      <c r="A372" s="35" t="s">
        <v>143</v>
      </c>
      <c r="B372" s="17"/>
      <c r="P372" t="s">
        <v>157</v>
      </c>
      <c r="Q372">
        <v>0.72</v>
      </c>
      <c r="R372">
        <f t="shared" si="112"/>
        <v>0</v>
      </c>
    </row>
    <row r="373" spans="1:18" x14ac:dyDescent="0.25">
      <c r="A373" s="4"/>
      <c r="B373" s="18"/>
      <c r="R373">
        <f t="shared" si="112"/>
        <v>0</v>
      </c>
    </row>
    <row r="374" spans="1:18" x14ac:dyDescent="0.25">
      <c r="A374" s="35" t="s">
        <v>121</v>
      </c>
      <c r="B374" s="17"/>
      <c r="C374" s="25" t="s">
        <v>580</v>
      </c>
      <c r="G374" t="s">
        <v>128</v>
      </c>
      <c r="H374" t="s">
        <v>30</v>
      </c>
      <c r="I374">
        <f>(B374*1.2)/20</f>
        <v>0</v>
      </c>
      <c r="J374" t="s">
        <v>148</v>
      </c>
      <c r="K374">
        <f>ROUNDUP(I374,0)</f>
        <v>0</v>
      </c>
      <c r="L374">
        <v>11.9</v>
      </c>
      <c r="N374">
        <f>K374*L374</f>
        <v>0</v>
      </c>
      <c r="P374" t="s">
        <v>158</v>
      </c>
      <c r="Q374">
        <v>3.96</v>
      </c>
      <c r="R374">
        <f t="shared" si="112"/>
        <v>0</v>
      </c>
    </row>
    <row r="375" spans="1:18" x14ac:dyDescent="0.25">
      <c r="A375" s="4"/>
      <c r="B375" s="18"/>
      <c r="H375" t="s">
        <v>31</v>
      </c>
      <c r="I375">
        <f>(B374*1.2)/20</f>
        <v>0</v>
      </c>
      <c r="J375" t="s">
        <v>149</v>
      </c>
      <c r="K375">
        <f>ROUNDUP(I375,0)</f>
        <v>0</v>
      </c>
      <c r="L375">
        <v>13.12</v>
      </c>
      <c r="N375">
        <f>K375*L375</f>
        <v>0</v>
      </c>
      <c r="R375">
        <f t="shared" si="112"/>
        <v>0</v>
      </c>
    </row>
    <row r="376" spans="1:18" x14ac:dyDescent="0.25">
      <c r="A376" s="35" t="s">
        <v>139</v>
      </c>
      <c r="B376" s="17"/>
      <c r="P376" t="s">
        <v>159</v>
      </c>
      <c r="Q376">
        <v>28.98</v>
      </c>
      <c r="R376">
        <f t="shared" si="112"/>
        <v>0</v>
      </c>
    </row>
    <row r="377" spans="1:18" x14ac:dyDescent="0.25">
      <c r="A377" s="4"/>
      <c r="B377" s="18"/>
      <c r="G377" t="s">
        <v>129</v>
      </c>
      <c r="H377" t="s">
        <v>24</v>
      </c>
      <c r="I377">
        <f>(B372*0.4)/10</f>
        <v>0</v>
      </c>
      <c r="J377" t="s">
        <v>54</v>
      </c>
      <c r="K377">
        <f t="shared" ref="K377" si="113">ROUNDUP(I377,0)</f>
        <v>0</v>
      </c>
      <c r="L377">
        <v>25.73</v>
      </c>
      <c r="N377">
        <f>K377*L377</f>
        <v>0</v>
      </c>
      <c r="R377">
        <f t="shared" si="112"/>
        <v>0</v>
      </c>
    </row>
    <row r="378" spans="1:18" x14ac:dyDescent="0.25">
      <c r="A378" s="35" t="s">
        <v>122</v>
      </c>
      <c r="B378" s="17"/>
      <c r="P378" t="s">
        <v>160</v>
      </c>
      <c r="Q378">
        <v>3.06</v>
      </c>
      <c r="R378">
        <f t="shared" si="112"/>
        <v>0</v>
      </c>
    </row>
    <row r="379" spans="1:18" x14ac:dyDescent="0.25">
      <c r="A379" s="35" t="s">
        <v>137</v>
      </c>
      <c r="B379" s="17"/>
      <c r="G379" t="s">
        <v>140</v>
      </c>
      <c r="H379" t="s">
        <v>130</v>
      </c>
      <c r="I379">
        <f>(B376*12)/20</f>
        <v>0</v>
      </c>
      <c r="J379" t="s">
        <v>130</v>
      </c>
      <c r="K379">
        <f>ROUNDUP(I379,0)</f>
        <v>0</v>
      </c>
      <c r="L379">
        <v>15.07</v>
      </c>
      <c r="N379">
        <f>K379*L379</f>
        <v>0</v>
      </c>
      <c r="P379" t="s">
        <v>161</v>
      </c>
      <c r="Q379">
        <v>3.06</v>
      </c>
      <c r="R379">
        <f t="shared" si="112"/>
        <v>0</v>
      </c>
    </row>
    <row r="380" spans="1:18" x14ac:dyDescent="0.25">
      <c r="A380" s="35" t="s">
        <v>138</v>
      </c>
      <c r="B380" s="44"/>
      <c r="I380" s="4"/>
      <c r="K380" s="4"/>
      <c r="P380" t="s">
        <v>161</v>
      </c>
      <c r="Q380">
        <v>3.06</v>
      </c>
      <c r="R380">
        <f t="shared" si="112"/>
        <v>0</v>
      </c>
    </row>
    <row r="381" spans="1:18" x14ac:dyDescent="0.25">
      <c r="A381" s="4"/>
      <c r="B381" s="45"/>
      <c r="G381" t="s">
        <v>135</v>
      </c>
      <c r="H381" t="s">
        <v>131</v>
      </c>
      <c r="I381" s="33">
        <f>(B378*2*0.222222)/18</f>
        <v>0</v>
      </c>
      <c r="J381" s="33" t="s">
        <v>147</v>
      </c>
      <c r="K381" s="33">
        <f>ROUNDUP(I381,0)</f>
        <v>0</v>
      </c>
      <c r="L381" s="33">
        <v>51.58</v>
      </c>
      <c r="M381" s="33"/>
      <c r="N381">
        <f>K381*L381</f>
        <v>0</v>
      </c>
      <c r="R381">
        <f t="shared" ref="R381:R385" si="114">B381*Q381</f>
        <v>0</v>
      </c>
    </row>
    <row r="382" spans="1:18" x14ac:dyDescent="0.25">
      <c r="A382" s="31" t="s">
        <v>171</v>
      </c>
      <c r="B382" s="42"/>
      <c r="C382" s="43" t="s">
        <v>179</v>
      </c>
      <c r="D382" s="43" t="s">
        <v>79</v>
      </c>
      <c r="E382" s="43" t="s">
        <v>125</v>
      </c>
      <c r="F382" s="43" t="s">
        <v>178</v>
      </c>
      <c r="I382" s="33"/>
      <c r="J382" s="33"/>
      <c r="K382" s="33"/>
      <c r="L382" s="33"/>
      <c r="M382" s="33"/>
      <c r="R382">
        <f t="shared" si="114"/>
        <v>0</v>
      </c>
    </row>
    <row r="383" spans="1:18" x14ac:dyDescent="0.25">
      <c r="A383" s="40" t="s">
        <v>175</v>
      </c>
      <c r="B383" s="17"/>
      <c r="C383" s="47"/>
      <c r="D383" s="17"/>
      <c r="E383" s="46"/>
      <c r="F383" s="46" t="s">
        <v>180</v>
      </c>
      <c r="G383" t="s">
        <v>134</v>
      </c>
      <c r="H383" t="s">
        <v>132</v>
      </c>
      <c r="I383" s="33">
        <f>(B379*2*0.222222)/18</f>
        <v>0</v>
      </c>
      <c r="J383" s="33" t="s">
        <v>145</v>
      </c>
      <c r="K383" s="33">
        <f>ROUNDUP(I383,0)</f>
        <v>0</v>
      </c>
      <c r="L383" s="33">
        <v>74.099999999999994</v>
      </c>
      <c r="M383" s="33"/>
      <c r="N383">
        <f>K383*L383</f>
        <v>0</v>
      </c>
      <c r="R383">
        <f t="shared" si="114"/>
        <v>0</v>
      </c>
    </row>
    <row r="384" spans="1:18" x14ac:dyDescent="0.25">
      <c r="A384" s="40" t="s">
        <v>176</v>
      </c>
      <c r="B384" s="17"/>
      <c r="C384" s="47"/>
      <c r="D384" s="17"/>
      <c r="E384" s="46"/>
      <c r="F384" s="46" t="s">
        <v>180</v>
      </c>
      <c r="G384" t="s">
        <v>136</v>
      </c>
      <c r="H384" t="s">
        <v>133</v>
      </c>
      <c r="I384" s="33">
        <f>(B380*2*0.222222)/18</f>
        <v>0</v>
      </c>
      <c r="J384" s="33" t="s">
        <v>146</v>
      </c>
      <c r="K384" s="33">
        <f>ROUNDUP(I384,0)</f>
        <v>0</v>
      </c>
      <c r="L384" s="33">
        <v>149</v>
      </c>
      <c r="M384" s="33"/>
      <c r="N384">
        <f>K384*L384</f>
        <v>0</v>
      </c>
      <c r="R384">
        <f t="shared" si="114"/>
        <v>0</v>
      </c>
    </row>
    <row r="385" spans="1:18" x14ac:dyDescent="0.25">
      <c r="A385" s="40" t="s">
        <v>177</v>
      </c>
      <c r="B385" s="17"/>
      <c r="C385" s="47"/>
      <c r="D385" s="17"/>
      <c r="E385" s="46"/>
      <c r="F385" s="46" t="s">
        <v>180</v>
      </c>
      <c r="I385" s="33"/>
      <c r="J385" s="33"/>
      <c r="K385" s="33"/>
      <c r="L385" s="33"/>
      <c r="M385" s="33"/>
      <c r="R385">
        <f t="shared" si="114"/>
        <v>0</v>
      </c>
    </row>
    <row r="386" spans="1:18" x14ac:dyDescent="0.25">
      <c r="A386" s="4"/>
      <c r="B386" s="19"/>
      <c r="C386" s="43" t="s">
        <v>579</v>
      </c>
      <c r="G386" s="39" t="s">
        <v>172</v>
      </c>
      <c r="I386" s="32">
        <f>((B383*2)*0.22222)/F383</f>
        <v>0</v>
      </c>
      <c r="J386" s="39" t="s">
        <v>172</v>
      </c>
      <c r="K386" s="33">
        <f>ROUNDUP(I386,0)</f>
        <v>0</v>
      </c>
      <c r="L386" s="33">
        <f>C383</f>
        <v>0</v>
      </c>
      <c r="M386" s="33"/>
      <c r="N386">
        <f t="shared" ref="N386:N388" si="115">K386*L386</f>
        <v>0</v>
      </c>
      <c r="Q386">
        <v>3.06</v>
      </c>
      <c r="R386">
        <f>B383*Q386</f>
        <v>0</v>
      </c>
    </row>
    <row r="387" spans="1:18" x14ac:dyDescent="0.25">
      <c r="A387" s="17" t="s">
        <v>152</v>
      </c>
      <c r="B387" s="17"/>
      <c r="G387" s="39" t="s">
        <v>173</v>
      </c>
      <c r="I387" s="32">
        <f t="shared" ref="I387:I388" si="116">((B384*2)*0.22222)/F384</f>
        <v>0</v>
      </c>
      <c r="J387" s="39" t="s">
        <v>173</v>
      </c>
      <c r="K387" s="33">
        <f t="shared" ref="K387:K388" si="117">ROUNDUP(I387,0)</f>
        <v>0</v>
      </c>
      <c r="L387" s="33">
        <f t="shared" ref="L387:L388" si="118">C384</f>
        <v>0</v>
      </c>
      <c r="M387" s="33"/>
      <c r="N387">
        <f t="shared" si="115"/>
        <v>0</v>
      </c>
      <c r="Q387">
        <v>3.06</v>
      </c>
      <c r="R387">
        <f t="shared" ref="R387:R388" si="119">B384*Q387</f>
        <v>0</v>
      </c>
    </row>
    <row r="388" spans="1:18" x14ac:dyDescent="0.25">
      <c r="A388" s="4"/>
      <c r="B388" s="13"/>
      <c r="G388" s="39" t="s">
        <v>174</v>
      </c>
      <c r="I388" s="32">
        <f t="shared" si="116"/>
        <v>0</v>
      </c>
      <c r="J388" s="39" t="s">
        <v>174</v>
      </c>
      <c r="K388" s="33">
        <f t="shared" si="117"/>
        <v>0</v>
      </c>
      <c r="L388" s="33">
        <f t="shared" si="118"/>
        <v>0</v>
      </c>
      <c r="N388">
        <f t="shared" si="115"/>
        <v>0</v>
      </c>
      <c r="Q388">
        <v>3.06</v>
      </c>
      <c r="R388">
        <f t="shared" si="119"/>
        <v>0</v>
      </c>
    </row>
    <row r="389" spans="1:18" x14ac:dyDescent="0.25">
      <c r="A389" s="4"/>
      <c r="B389" s="4"/>
    </row>
    <row r="390" spans="1:18" x14ac:dyDescent="0.25">
      <c r="A390" s="4" t="s">
        <v>153</v>
      </c>
      <c r="B390" s="34">
        <f>N393/((100-B391)/100)</f>
        <v>0</v>
      </c>
    </row>
    <row r="391" spans="1:18" x14ac:dyDescent="0.25">
      <c r="A391" s="4" t="s">
        <v>67</v>
      </c>
      <c r="B391" s="13">
        <v>0</v>
      </c>
      <c r="C391" s="1"/>
      <c r="G391" t="s">
        <v>96</v>
      </c>
      <c r="N391">
        <f>B387</f>
        <v>0</v>
      </c>
    </row>
    <row r="392" spans="1:18" x14ac:dyDescent="0.25">
      <c r="A392" s="4"/>
      <c r="B392" s="4"/>
    </row>
    <row r="393" spans="1:18" x14ac:dyDescent="0.25">
      <c r="A393" s="4" t="s">
        <v>76</v>
      </c>
      <c r="B393" s="34">
        <f>R393*((100+B394)/100)</f>
        <v>0</v>
      </c>
      <c r="N393">
        <f>SUM(N369:N391)</f>
        <v>0</v>
      </c>
      <c r="R393">
        <f>SUM(R369:R392)</f>
        <v>0</v>
      </c>
    </row>
    <row r="394" spans="1:18" x14ac:dyDescent="0.25">
      <c r="A394" s="4" t="s">
        <v>154</v>
      </c>
      <c r="B394" s="13">
        <v>0</v>
      </c>
    </row>
    <row r="396" spans="1:18" x14ac:dyDescent="0.25">
      <c r="A396" s="22" t="s">
        <v>155</v>
      </c>
      <c r="B396" s="36">
        <f>B390+B393</f>
        <v>0</v>
      </c>
    </row>
    <row r="399" spans="1:18" x14ac:dyDescent="0.25">
      <c r="A399" s="4"/>
      <c r="B399" s="4"/>
    </row>
    <row r="400" spans="1:18" x14ac:dyDescent="0.25">
      <c r="A400" s="4"/>
      <c r="B400" s="34"/>
    </row>
    <row r="401" spans="1:17" x14ac:dyDescent="0.25">
      <c r="A401" s="4"/>
      <c r="B401" s="13"/>
      <c r="C401" s="1"/>
    </row>
    <row r="402" spans="1:17" x14ac:dyDescent="0.25">
      <c r="A402" s="4"/>
      <c r="B402" s="4"/>
    </row>
    <row r="403" spans="1:17" x14ac:dyDescent="0.25">
      <c r="A403" s="4"/>
      <c r="B403" s="4"/>
    </row>
    <row r="404" spans="1:17" x14ac:dyDescent="0.25">
      <c r="A404" s="4"/>
      <c r="B404" s="13"/>
    </row>
    <row r="406" spans="1:17" x14ac:dyDescent="0.25">
      <c r="A406" s="22"/>
      <c r="B406" s="36"/>
    </row>
    <row r="409" spans="1:17" x14ac:dyDescent="0.25">
      <c r="A409" s="13"/>
      <c r="B409" s="13"/>
    </row>
    <row r="410" spans="1:17" x14ac:dyDescent="0.25">
      <c r="A410" s="13"/>
      <c r="B410" s="4"/>
    </row>
    <row r="411" spans="1:17" x14ac:dyDescent="0.25">
      <c r="A411" s="4"/>
      <c r="B411" s="4"/>
      <c r="H411" s="1"/>
      <c r="I411" s="1"/>
      <c r="K411" s="1"/>
      <c r="L411" s="13"/>
      <c r="N411" s="1"/>
      <c r="Q411" s="1"/>
    </row>
    <row r="412" spans="1:17" x14ac:dyDescent="0.25">
      <c r="A412" s="4"/>
      <c r="B412" s="4"/>
    </row>
    <row r="413" spans="1:17" x14ac:dyDescent="0.25">
      <c r="A413" s="4"/>
      <c r="B413" s="4"/>
    </row>
    <row r="414" spans="1:17" x14ac:dyDescent="0.25">
      <c r="A414" s="4"/>
      <c r="B414" s="4"/>
    </row>
    <row r="415" spans="1:17" x14ac:dyDescent="0.25">
      <c r="A415" s="4"/>
      <c r="B415" s="4"/>
    </row>
    <row r="416" spans="1:17" x14ac:dyDescent="0.25">
      <c r="A416" s="4"/>
      <c r="B416" s="4"/>
    </row>
    <row r="417" spans="1:13" x14ac:dyDescent="0.25">
      <c r="A417" s="4"/>
      <c r="B417" s="4"/>
    </row>
    <row r="418" spans="1:13" x14ac:dyDescent="0.25">
      <c r="A418" s="4"/>
      <c r="B418" s="4"/>
    </row>
    <row r="419" spans="1:13" x14ac:dyDescent="0.25">
      <c r="A419" s="4"/>
      <c r="B419" s="4"/>
    </row>
    <row r="420" spans="1:13" x14ac:dyDescent="0.25">
      <c r="A420" s="4"/>
      <c r="B420" s="4"/>
    </row>
    <row r="421" spans="1:13" x14ac:dyDescent="0.25">
      <c r="A421" s="4"/>
      <c r="B421" s="4"/>
    </row>
    <row r="422" spans="1:13" x14ac:dyDescent="0.25">
      <c r="A422" s="4"/>
      <c r="B422" s="4"/>
    </row>
    <row r="423" spans="1:13" x14ac:dyDescent="0.25">
      <c r="A423" s="4"/>
      <c r="B423" s="4"/>
      <c r="I423" s="4"/>
      <c r="K423" s="4"/>
    </row>
    <row r="424" spans="1:13" x14ac:dyDescent="0.25">
      <c r="A424" s="4"/>
      <c r="B424" s="4"/>
      <c r="I424" s="33"/>
      <c r="J424" s="33"/>
      <c r="K424" s="33"/>
      <c r="L424" s="33"/>
      <c r="M424" s="33"/>
    </row>
    <row r="425" spans="1:13" x14ac:dyDescent="0.25">
      <c r="A425" s="31"/>
      <c r="B425" s="13"/>
      <c r="C425" s="43"/>
      <c r="D425" s="43"/>
      <c r="E425" s="43"/>
      <c r="F425" s="43"/>
      <c r="I425" s="33"/>
      <c r="J425" s="33"/>
      <c r="K425" s="33"/>
      <c r="L425" s="33"/>
      <c r="M425" s="33"/>
    </row>
    <row r="426" spans="1:13" x14ac:dyDescent="0.25">
      <c r="A426" s="38"/>
      <c r="B426" s="4"/>
      <c r="C426" s="34"/>
      <c r="D426" s="4"/>
      <c r="E426" s="48"/>
      <c r="F426" s="48"/>
      <c r="I426" s="33"/>
      <c r="J426" s="33"/>
      <c r="K426" s="33"/>
      <c r="L426" s="33"/>
      <c r="M426" s="33"/>
    </row>
    <row r="427" spans="1:13" x14ac:dyDescent="0.25">
      <c r="A427" s="38"/>
      <c r="B427" s="4"/>
      <c r="C427" s="34"/>
      <c r="D427" s="4"/>
      <c r="E427" s="48"/>
      <c r="F427" s="48"/>
      <c r="I427" s="33"/>
      <c r="J427" s="33"/>
      <c r="K427" s="33"/>
      <c r="L427" s="33"/>
      <c r="M427" s="33"/>
    </row>
    <row r="428" spans="1:13" x14ac:dyDescent="0.25">
      <c r="A428" s="38"/>
      <c r="B428" s="4"/>
      <c r="C428" s="34"/>
      <c r="D428" s="4"/>
      <c r="E428" s="48"/>
      <c r="F428" s="48"/>
      <c r="I428" s="33"/>
      <c r="J428" s="33"/>
      <c r="K428" s="33"/>
      <c r="L428" s="33"/>
      <c r="M428" s="33"/>
    </row>
    <row r="429" spans="1:13" x14ac:dyDescent="0.25">
      <c r="A429" s="4"/>
      <c r="B429" s="4"/>
      <c r="G429" s="39"/>
      <c r="I429" s="32"/>
      <c r="J429" s="39"/>
      <c r="K429" s="33"/>
      <c r="L429" s="33"/>
      <c r="M429" s="33"/>
    </row>
    <row r="430" spans="1:13" x14ac:dyDescent="0.25">
      <c r="A430" s="4"/>
      <c r="B430" s="4"/>
      <c r="G430" s="39"/>
      <c r="I430" s="32"/>
      <c r="J430" s="39"/>
      <c r="K430" s="33"/>
      <c r="L430" s="33"/>
      <c r="M430" s="33"/>
    </row>
    <row r="431" spans="1:13" x14ac:dyDescent="0.25">
      <c r="A431" s="4"/>
      <c r="B431" s="13"/>
      <c r="G431" s="39"/>
      <c r="I431" s="32"/>
      <c r="J431" s="39"/>
      <c r="K431" s="33"/>
      <c r="L431" s="33"/>
    </row>
    <row r="432" spans="1:13" x14ac:dyDescent="0.25">
      <c r="A432" s="4"/>
      <c r="B432" s="4"/>
    </row>
    <row r="433" spans="1:17" x14ac:dyDescent="0.25">
      <c r="A433" s="4"/>
      <c r="B433" s="34"/>
    </row>
    <row r="434" spans="1:17" x14ac:dyDescent="0.25">
      <c r="A434" s="4"/>
      <c r="B434" s="13"/>
      <c r="C434" s="1"/>
    </row>
    <row r="435" spans="1:17" x14ac:dyDescent="0.25">
      <c r="A435" s="4"/>
      <c r="B435" s="4"/>
    </row>
    <row r="436" spans="1:17" x14ac:dyDescent="0.25">
      <c r="A436" s="4"/>
      <c r="B436" s="4"/>
    </row>
    <row r="437" spans="1:17" x14ac:dyDescent="0.25">
      <c r="A437" s="4"/>
      <c r="B437" s="13"/>
    </row>
    <row r="439" spans="1:17" x14ac:dyDescent="0.25">
      <c r="A439" s="22"/>
      <c r="B439" s="36"/>
    </row>
    <row r="442" spans="1:17" x14ac:dyDescent="0.25">
      <c r="A442" s="13"/>
      <c r="B442" s="13"/>
    </row>
    <row r="443" spans="1:17" x14ac:dyDescent="0.25">
      <c r="A443" s="13"/>
      <c r="B443" s="4"/>
    </row>
    <row r="444" spans="1:17" x14ac:dyDescent="0.25">
      <c r="A444" s="4"/>
      <c r="B444" s="4"/>
      <c r="H444" s="1"/>
      <c r="I444" s="1"/>
      <c r="K444" s="1"/>
      <c r="L444" s="13"/>
      <c r="N444" s="1"/>
      <c r="Q444" s="1"/>
    </row>
    <row r="445" spans="1:17" x14ac:dyDescent="0.25">
      <c r="A445" s="4"/>
      <c r="B445" s="4"/>
    </row>
    <row r="446" spans="1:17" x14ac:dyDescent="0.25">
      <c r="A446" s="4"/>
      <c r="B446" s="4"/>
    </row>
    <row r="447" spans="1:17" x14ac:dyDescent="0.25">
      <c r="A447" s="4"/>
      <c r="B447" s="4"/>
    </row>
    <row r="448" spans="1:17" x14ac:dyDescent="0.25">
      <c r="A448" s="4"/>
      <c r="B448" s="4"/>
    </row>
    <row r="449" spans="1:13" x14ac:dyDescent="0.25">
      <c r="A449" s="4"/>
      <c r="B449" s="4"/>
    </row>
    <row r="450" spans="1:13" x14ac:dyDescent="0.25">
      <c r="A450" s="4"/>
      <c r="B450" s="4"/>
    </row>
    <row r="451" spans="1:13" x14ac:dyDescent="0.25">
      <c r="A451" s="4"/>
      <c r="B451" s="4"/>
    </row>
    <row r="452" spans="1:13" x14ac:dyDescent="0.25">
      <c r="A452" s="4"/>
      <c r="B452" s="4"/>
    </row>
    <row r="453" spans="1:13" x14ac:dyDescent="0.25">
      <c r="A453" s="4"/>
      <c r="B453" s="4"/>
    </row>
    <row r="454" spans="1:13" x14ac:dyDescent="0.25">
      <c r="A454" s="4"/>
      <c r="B454" s="4"/>
    </row>
    <row r="455" spans="1:13" x14ac:dyDescent="0.25">
      <c r="A455" s="4"/>
      <c r="B455" s="4"/>
    </row>
    <row r="456" spans="1:13" x14ac:dyDescent="0.25">
      <c r="A456" s="4"/>
      <c r="B456" s="4"/>
      <c r="I456" s="4"/>
      <c r="K456" s="4"/>
    </row>
    <row r="457" spans="1:13" x14ac:dyDescent="0.25">
      <c r="A457" s="4"/>
      <c r="B457" s="4"/>
      <c r="I457" s="33"/>
      <c r="J457" s="33"/>
      <c r="K457" s="33"/>
      <c r="L457" s="33"/>
      <c r="M457" s="33"/>
    </row>
    <row r="458" spans="1:13" x14ac:dyDescent="0.25">
      <c r="A458" s="31"/>
      <c r="B458" s="13"/>
      <c r="C458" s="43"/>
      <c r="D458" s="43"/>
      <c r="E458" s="43"/>
      <c r="F458" s="43"/>
      <c r="I458" s="33"/>
      <c r="J458" s="33"/>
      <c r="K458" s="33"/>
      <c r="L458" s="33"/>
      <c r="M458" s="33"/>
    </row>
    <row r="459" spans="1:13" x14ac:dyDescent="0.25">
      <c r="A459" s="38"/>
      <c r="B459" s="4"/>
      <c r="C459" s="34"/>
      <c r="D459" s="4"/>
      <c r="E459" s="48"/>
      <c r="F459" s="48"/>
      <c r="I459" s="33"/>
      <c r="J459" s="33"/>
      <c r="K459" s="33"/>
      <c r="L459" s="33"/>
      <c r="M459" s="33"/>
    </row>
    <row r="460" spans="1:13" x14ac:dyDescent="0.25">
      <c r="A460" s="38"/>
      <c r="B460" s="4"/>
      <c r="C460" s="34"/>
      <c r="D460" s="4"/>
      <c r="E460" s="48"/>
      <c r="F460" s="48"/>
      <c r="I460" s="33"/>
      <c r="J460" s="33"/>
      <c r="K460" s="33"/>
      <c r="L460" s="33"/>
      <c r="M460" s="33"/>
    </row>
    <row r="461" spans="1:13" x14ac:dyDescent="0.25">
      <c r="A461" s="38"/>
      <c r="B461" s="4"/>
      <c r="C461" s="34"/>
      <c r="D461" s="4"/>
      <c r="E461" s="48"/>
      <c r="F461" s="48"/>
      <c r="I461" s="33"/>
      <c r="J461" s="33"/>
      <c r="K461" s="33"/>
      <c r="L461" s="33"/>
      <c r="M461" s="33"/>
    </row>
    <row r="462" spans="1:13" x14ac:dyDescent="0.25">
      <c r="A462" s="4"/>
      <c r="B462" s="4"/>
      <c r="G462" s="39"/>
      <c r="I462" s="32"/>
      <c r="J462" s="39"/>
      <c r="K462" s="33"/>
      <c r="L462" s="33"/>
      <c r="M462" s="33"/>
    </row>
    <row r="463" spans="1:13" x14ac:dyDescent="0.25">
      <c r="A463" s="4"/>
      <c r="B463" s="4"/>
      <c r="G463" s="39"/>
      <c r="I463" s="32"/>
      <c r="J463" s="39"/>
      <c r="K463" s="33"/>
      <c r="L463" s="33"/>
      <c r="M463" s="33"/>
    </row>
    <row r="464" spans="1:13" x14ac:dyDescent="0.25">
      <c r="A464" s="4"/>
      <c r="B464" s="13"/>
      <c r="G464" s="39"/>
      <c r="I464" s="32"/>
      <c r="J464" s="39"/>
      <c r="K464" s="33"/>
      <c r="L464" s="33"/>
    </row>
    <row r="465" spans="1:17" x14ac:dyDescent="0.25">
      <c r="A465" s="4"/>
      <c r="B465" s="4"/>
    </row>
    <row r="466" spans="1:17" x14ac:dyDescent="0.25">
      <c r="A466" s="4"/>
      <c r="B466" s="34"/>
    </row>
    <row r="467" spans="1:17" x14ac:dyDescent="0.25">
      <c r="A467" s="4"/>
      <c r="B467" s="13"/>
      <c r="C467" s="1"/>
    </row>
    <row r="468" spans="1:17" x14ac:dyDescent="0.25">
      <c r="A468" s="4"/>
      <c r="B468" s="4"/>
    </row>
    <row r="469" spans="1:17" x14ac:dyDescent="0.25">
      <c r="A469" s="4"/>
      <c r="B469" s="4"/>
    </row>
    <row r="470" spans="1:17" x14ac:dyDescent="0.25">
      <c r="A470" s="4"/>
      <c r="B470" s="13"/>
    </row>
    <row r="472" spans="1:17" x14ac:dyDescent="0.25">
      <c r="A472" s="22"/>
      <c r="B472" s="36"/>
    </row>
    <row r="475" spans="1:17" x14ac:dyDescent="0.25">
      <c r="A475" s="13"/>
      <c r="B475" s="13"/>
    </row>
    <row r="476" spans="1:17" x14ac:dyDescent="0.25">
      <c r="A476" s="13"/>
      <c r="B476" s="4"/>
    </row>
    <row r="477" spans="1:17" x14ac:dyDescent="0.25">
      <c r="A477" s="4"/>
      <c r="B477" s="4"/>
      <c r="H477" s="1"/>
      <c r="I477" s="1"/>
      <c r="K477" s="1"/>
      <c r="L477" s="13"/>
      <c r="N477" s="1"/>
      <c r="Q477" s="1"/>
    </row>
    <row r="478" spans="1:17" x14ac:dyDescent="0.25">
      <c r="A478" s="4"/>
      <c r="B478" s="4"/>
    </row>
    <row r="479" spans="1:17" x14ac:dyDescent="0.25">
      <c r="A479" s="4"/>
      <c r="B479" s="4"/>
    </row>
    <row r="480" spans="1:17" x14ac:dyDescent="0.25">
      <c r="A480" s="4"/>
      <c r="B480" s="4"/>
    </row>
    <row r="481" spans="1:13" x14ac:dyDescent="0.25">
      <c r="A481" s="4"/>
      <c r="B481" s="4"/>
    </row>
    <row r="482" spans="1:13" x14ac:dyDescent="0.25">
      <c r="A482" s="4"/>
      <c r="B482" s="4"/>
    </row>
    <row r="483" spans="1:13" x14ac:dyDescent="0.25">
      <c r="A483" s="4"/>
      <c r="B483" s="4"/>
    </row>
    <row r="484" spans="1:13" x14ac:dyDescent="0.25">
      <c r="A484" s="4"/>
      <c r="B484" s="4"/>
    </row>
    <row r="485" spans="1:13" x14ac:dyDescent="0.25">
      <c r="A485" s="4"/>
      <c r="B485" s="4"/>
    </row>
    <row r="486" spans="1:13" x14ac:dyDescent="0.25">
      <c r="A486" s="4"/>
      <c r="B486" s="4"/>
    </row>
    <row r="487" spans="1:13" x14ac:dyDescent="0.25">
      <c r="A487" s="4"/>
      <c r="B487" s="4"/>
    </row>
    <row r="488" spans="1:13" x14ac:dyDescent="0.25">
      <c r="A488" s="4"/>
      <c r="B488" s="4"/>
    </row>
    <row r="489" spans="1:13" x14ac:dyDescent="0.25">
      <c r="A489" s="4"/>
      <c r="B489" s="4"/>
      <c r="I489" s="4"/>
      <c r="K489" s="4"/>
    </row>
    <row r="490" spans="1:13" x14ac:dyDescent="0.25">
      <c r="A490" s="4"/>
      <c r="B490" s="4"/>
      <c r="I490" s="33"/>
      <c r="J490" s="33"/>
      <c r="K490" s="33"/>
      <c r="L490" s="33"/>
      <c r="M490" s="33"/>
    </row>
    <row r="491" spans="1:13" x14ac:dyDescent="0.25">
      <c r="A491" s="31"/>
      <c r="B491" s="13"/>
      <c r="C491" s="43"/>
      <c r="D491" s="43"/>
      <c r="E491" s="43"/>
      <c r="F491" s="43"/>
      <c r="I491" s="33"/>
      <c r="J491" s="33"/>
      <c r="K491" s="33"/>
      <c r="L491" s="33"/>
      <c r="M491" s="33"/>
    </row>
    <row r="492" spans="1:13" x14ac:dyDescent="0.25">
      <c r="A492" s="38"/>
      <c r="B492" s="4"/>
      <c r="C492" s="34"/>
      <c r="D492" s="4"/>
      <c r="E492" s="48"/>
      <c r="F492" s="48"/>
      <c r="I492" s="33"/>
      <c r="J492" s="33"/>
      <c r="K492" s="33"/>
      <c r="L492" s="33"/>
      <c r="M492" s="33"/>
    </row>
    <row r="493" spans="1:13" x14ac:dyDescent="0.25">
      <c r="A493" s="38"/>
      <c r="B493" s="4"/>
      <c r="C493" s="34"/>
      <c r="D493" s="4"/>
      <c r="E493" s="48"/>
      <c r="F493" s="48"/>
      <c r="I493" s="33"/>
      <c r="J493" s="33"/>
      <c r="K493" s="33"/>
      <c r="L493" s="33"/>
      <c r="M493" s="33"/>
    </row>
    <row r="494" spans="1:13" x14ac:dyDescent="0.25">
      <c r="A494" s="38"/>
      <c r="B494" s="4"/>
      <c r="C494" s="34"/>
      <c r="D494" s="4"/>
      <c r="E494" s="48"/>
      <c r="F494" s="48"/>
      <c r="I494" s="33"/>
      <c r="J494" s="33"/>
      <c r="K494" s="33"/>
      <c r="L494" s="33"/>
      <c r="M494" s="33"/>
    </row>
    <row r="495" spans="1:13" x14ac:dyDescent="0.25">
      <c r="A495" s="4"/>
      <c r="B495" s="4"/>
      <c r="G495" s="39"/>
      <c r="I495" s="32"/>
      <c r="J495" s="39"/>
      <c r="K495" s="33"/>
      <c r="L495" s="33"/>
      <c r="M495" s="33"/>
    </row>
    <row r="496" spans="1:13" x14ac:dyDescent="0.25">
      <c r="A496" s="4"/>
      <c r="B496" s="4"/>
      <c r="G496" s="39"/>
      <c r="I496" s="32"/>
      <c r="J496" s="39"/>
      <c r="K496" s="33"/>
      <c r="L496" s="33"/>
      <c r="M496" s="33"/>
    </row>
    <row r="497" spans="1:17" x14ac:dyDescent="0.25">
      <c r="A497" s="4"/>
      <c r="B497" s="13"/>
      <c r="G497" s="39"/>
      <c r="I497" s="32"/>
      <c r="J497" s="39"/>
      <c r="K497" s="33"/>
      <c r="L497" s="33"/>
    </row>
    <row r="498" spans="1:17" x14ac:dyDescent="0.25">
      <c r="A498" s="4"/>
      <c r="B498" s="4"/>
    </row>
    <row r="499" spans="1:17" x14ac:dyDescent="0.25">
      <c r="A499" s="4"/>
      <c r="B499" s="34"/>
    </row>
    <row r="500" spans="1:17" x14ac:dyDescent="0.25">
      <c r="A500" s="4"/>
      <c r="B500" s="13"/>
      <c r="C500" s="1"/>
    </row>
    <row r="501" spans="1:17" x14ac:dyDescent="0.25">
      <c r="A501" s="4"/>
      <c r="B501" s="4"/>
    </row>
    <row r="502" spans="1:17" x14ac:dyDescent="0.25">
      <c r="A502" s="4"/>
      <c r="B502" s="4"/>
    </row>
    <row r="503" spans="1:17" x14ac:dyDescent="0.25">
      <c r="A503" s="4"/>
      <c r="B503" s="13"/>
    </row>
    <row r="505" spans="1:17" x14ac:dyDescent="0.25">
      <c r="A505" s="22"/>
      <c r="B505" s="36"/>
    </row>
    <row r="508" spans="1:17" x14ac:dyDescent="0.25">
      <c r="A508" s="13"/>
      <c r="B508" s="13"/>
    </row>
    <row r="509" spans="1:17" x14ac:dyDescent="0.25">
      <c r="A509" s="13"/>
      <c r="B509" s="4"/>
    </row>
    <row r="510" spans="1:17" x14ac:dyDescent="0.25">
      <c r="A510" s="4"/>
      <c r="B510" s="4"/>
      <c r="H510" s="1"/>
      <c r="I510" s="1"/>
      <c r="K510" s="1"/>
      <c r="L510" s="13"/>
      <c r="N510" s="1"/>
      <c r="Q510" s="1"/>
    </row>
    <row r="511" spans="1:17" x14ac:dyDescent="0.25">
      <c r="A511" s="4"/>
      <c r="B511" s="4"/>
    </row>
    <row r="512" spans="1:17" x14ac:dyDescent="0.25">
      <c r="A512" s="4"/>
      <c r="B512" s="4"/>
    </row>
    <row r="513" spans="1:13" x14ac:dyDescent="0.25">
      <c r="A513" s="4"/>
      <c r="B513" s="4"/>
    </row>
    <row r="514" spans="1:13" x14ac:dyDescent="0.25">
      <c r="A514" s="4"/>
      <c r="B514" s="4"/>
    </row>
    <row r="515" spans="1:13" x14ac:dyDescent="0.25">
      <c r="A515" s="4"/>
      <c r="B515" s="4"/>
    </row>
    <row r="516" spans="1:13" x14ac:dyDescent="0.25">
      <c r="A516" s="4"/>
      <c r="B516" s="4"/>
    </row>
    <row r="517" spans="1:13" x14ac:dyDescent="0.25">
      <c r="A517" s="4"/>
      <c r="B517" s="4"/>
    </row>
    <row r="518" spans="1:13" x14ac:dyDescent="0.25">
      <c r="A518" s="4"/>
      <c r="B518" s="4"/>
    </row>
    <row r="519" spans="1:13" x14ac:dyDescent="0.25">
      <c r="A519" s="4"/>
      <c r="B519" s="4"/>
    </row>
    <row r="520" spans="1:13" x14ac:dyDescent="0.25">
      <c r="A520" s="4"/>
      <c r="B520" s="4"/>
    </row>
    <row r="521" spans="1:13" x14ac:dyDescent="0.25">
      <c r="A521" s="4"/>
      <c r="B521" s="4"/>
    </row>
    <row r="522" spans="1:13" x14ac:dyDescent="0.25">
      <c r="A522" s="4"/>
      <c r="B522" s="4"/>
      <c r="I522" s="4"/>
      <c r="K522" s="4"/>
    </row>
    <row r="523" spans="1:13" x14ac:dyDescent="0.25">
      <c r="A523" s="4"/>
      <c r="B523" s="4"/>
      <c r="I523" s="33"/>
      <c r="J523" s="33"/>
      <c r="K523" s="33"/>
      <c r="L523" s="33"/>
      <c r="M523" s="33"/>
    </row>
    <row r="524" spans="1:13" x14ac:dyDescent="0.25">
      <c r="A524" s="31"/>
      <c r="B524" s="13"/>
      <c r="C524" s="43"/>
      <c r="D524" s="43"/>
      <c r="E524" s="43"/>
      <c r="F524" s="43"/>
      <c r="I524" s="33"/>
      <c r="J524" s="33"/>
      <c r="K524" s="33"/>
      <c r="L524" s="33"/>
      <c r="M524" s="33"/>
    </row>
    <row r="525" spans="1:13" x14ac:dyDescent="0.25">
      <c r="A525" s="38"/>
      <c r="B525" s="4"/>
      <c r="C525" s="34"/>
      <c r="D525" s="4"/>
      <c r="E525" s="48"/>
      <c r="F525" s="48"/>
      <c r="I525" s="33"/>
      <c r="J525" s="33"/>
      <c r="K525" s="33"/>
      <c r="L525" s="33"/>
      <c r="M525" s="33"/>
    </row>
    <row r="526" spans="1:13" x14ac:dyDescent="0.25">
      <c r="A526" s="38"/>
      <c r="B526" s="4"/>
      <c r="C526" s="34"/>
      <c r="D526" s="4"/>
      <c r="E526" s="48"/>
      <c r="F526" s="48"/>
      <c r="I526" s="33"/>
      <c r="J526" s="33"/>
      <c r="K526" s="33"/>
      <c r="L526" s="33"/>
      <c r="M526" s="33"/>
    </row>
    <row r="527" spans="1:13" x14ac:dyDescent="0.25">
      <c r="A527" s="38"/>
      <c r="B527" s="4"/>
      <c r="C527" s="34"/>
      <c r="D527" s="4"/>
      <c r="E527" s="48"/>
      <c r="F527" s="48"/>
      <c r="I527" s="33"/>
      <c r="J527" s="33"/>
      <c r="K527" s="33"/>
      <c r="L527" s="33"/>
      <c r="M527" s="33"/>
    </row>
    <row r="528" spans="1:13" x14ac:dyDescent="0.25">
      <c r="A528" s="4"/>
      <c r="B528" s="4"/>
      <c r="G528" s="39"/>
      <c r="I528" s="32"/>
      <c r="J528" s="39"/>
      <c r="K528" s="33"/>
      <c r="L528" s="33"/>
      <c r="M528" s="33"/>
    </row>
    <row r="529" spans="1:17" x14ac:dyDescent="0.25">
      <c r="A529" s="4"/>
      <c r="B529" s="4"/>
      <c r="G529" s="39"/>
      <c r="I529" s="32"/>
      <c r="J529" s="39"/>
      <c r="K529" s="33"/>
      <c r="L529" s="33"/>
      <c r="M529" s="33"/>
    </row>
    <row r="530" spans="1:17" x14ac:dyDescent="0.25">
      <c r="A530" s="4"/>
      <c r="B530" s="13"/>
      <c r="G530" s="39"/>
      <c r="I530" s="32"/>
      <c r="J530" s="39"/>
      <c r="K530" s="33"/>
      <c r="L530" s="33"/>
    </row>
    <row r="531" spans="1:17" x14ac:dyDescent="0.25">
      <c r="A531" s="4"/>
      <c r="B531" s="4"/>
    </row>
    <row r="532" spans="1:17" x14ac:dyDescent="0.25">
      <c r="A532" s="4"/>
      <c r="B532" s="34"/>
    </row>
    <row r="533" spans="1:17" x14ac:dyDescent="0.25">
      <c r="A533" s="4"/>
      <c r="B533" s="13"/>
      <c r="C533" s="1"/>
    </row>
    <row r="534" spans="1:17" x14ac:dyDescent="0.25">
      <c r="A534" s="4"/>
      <c r="B534" s="4"/>
    </row>
    <row r="535" spans="1:17" x14ac:dyDescent="0.25">
      <c r="A535" s="4"/>
      <c r="B535" s="4"/>
    </row>
    <row r="536" spans="1:17" x14ac:dyDescent="0.25">
      <c r="A536" s="4"/>
      <c r="B536" s="13"/>
    </row>
    <row r="538" spans="1:17" x14ac:dyDescent="0.25">
      <c r="A538" s="22"/>
      <c r="B538" s="36"/>
    </row>
    <row r="541" spans="1:17" x14ac:dyDescent="0.25">
      <c r="A541" s="13"/>
      <c r="B541" s="13"/>
    </row>
    <row r="542" spans="1:17" x14ac:dyDescent="0.25">
      <c r="A542" s="13"/>
      <c r="B542" s="4"/>
    </row>
    <row r="543" spans="1:17" x14ac:dyDescent="0.25">
      <c r="A543" s="4"/>
      <c r="B543" s="4"/>
      <c r="H543" s="1"/>
      <c r="I543" s="1"/>
      <c r="K543" s="1"/>
      <c r="L543" s="13"/>
      <c r="N543" s="1"/>
      <c r="Q543" s="1"/>
    </row>
    <row r="544" spans="1:17" x14ac:dyDescent="0.25">
      <c r="A544" s="4"/>
      <c r="B544" s="4"/>
    </row>
    <row r="545" spans="1:13" x14ac:dyDescent="0.25">
      <c r="A545" s="4"/>
      <c r="B545" s="4"/>
    </row>
    <row r="546" spans="1:13" x14ac:dyDescent="0.25">
      <c r="A546" s="4"/>
      <c r="B546" s="4"/>
    </row>
    <row r="547" spans="1:13" x14ac:dyDescent="0.25">
      <c r="A547" s="4"/>
      <c r="B547" s="4"/>
    </row>
    <row r="548" spans="1:13" x14ac:dyDescent="0.25">
      <c r="A548" s="4"/>
      <c r="B548" s="4"/>
    </row>
    <row r="549" spans="1:13" x14ac:dyDescent="0.25">
      <c r="A549" s="4"/>
      <c r="B549" s="4"/>
    </row>
    <row r="550" spans="1:13" x14ac:dyDescent="0.25">
      <c r="A550" s="4"/>
      <c r="B550" s="4"/>
    </row>
    <row r="551" spans="1:13" x14ac:dyDescent="0.25">
      <c r="A551" s="4"/>
      <c r="B551" s="4"/>
    </row>
    <row r="552" spans="1:13" x14ac:dyDescent="0.25">
      <c r="A552" s="4"/>
      <c r="B552" s="4"/>
    </row>
    <row r="553" spans="1:13" x14ac:dyDescent="0.25">
      <c r="A553" s="4"/>
      <c r="B553" s="4"/>
    </row>
    <row r="554" spans="1:13" x14ac:dyDescent="0.25">
      <c r="A554" s="4"/>
      <c r="B554" s="4"/>
    </row>
    <row r="555" spans="1:13" x14ac:dyDescent="0.25">
      <c r="A555" s="4"/>
      <c r="B555" s="4"/>
      <c r="I555" s="4"/>
      <c r="K555" s="4"/>
    </row>
    <row r="556" spans="1:13" x14ac:dyDescent="0.25">
      <c r="A556" s="4"/>
      <c r="B556" s="4"/>
      <c r="I556" s="33"/>
      <c r="J556" s="33"/>
      <c r="K556" s="33"/>
      <c r="L556" s="33"/>
      <c r="M556" s="33"/>
    </row>
    <row r="557" spans="1:13" x14ac:dyDescent="0.25">
      <c r="A557" s="31"/>
      <c r="B557" s="13"/>
      <c r="C557" s="43"/>
      <c r="D557" s="43"/>
      <c r="E557" s="43"/>
      <c r="F557" s="43"/>
      <c r="I557" s="33"/>
      <c r="J557" s="33"/>
      <c r="K557" s="33"/>
      <c r="L557" s="33"/>
      <c r="M557" s="33"/>
    </row>
    <row r="558" spans="1:13" x14ac:dyDescent="0.25">
      <c r="A558" s="38"/>
      <c r="B558" s="4"/>
      <c r="C558" s="34"/>
      <c r="D558" s="4"/>
      <c r="E558" s="48"/>
      <c r="F558" s="48"/>
      <c r="I558" s="33"/>
      <c r="J558" s="33"/>
      <c r="K558" s="33"/>
      <c r="L558" s="33"/>
      <c r="M558" s="33"/>
    </row>
    <row r="559" spans="1:13" x14ac:dyDescent="0.25">
      <c r="A559" s="38"/>
      <c r="B559" s="4"/>
      <c r="C559" s="34"/>
      <c r="D559" s="4"/>
      <c r="E559" s="48"/>
      <c r="F559" s="48"/>
      <c r="I559" s="33"/>
      <c r="J559" s="33"/>
      <c r="K559" s="33"/>
      <c r="L559" s="33"/>
      <c r="M559" s="33"/>
    </row>
    <row r="560" spans="1:13" x14ac:dyDescent="0.25">
      <c r="A560" s="38"/>
      <c r="B560" s="4"/>
      <c r="C560" s="34"/>
      <c r="D560" s="4"/>
      <c r="E560" s="48"/>
      <c r="F560" s="48"/>
      <c r="I560" s="33"/>
      <c r="J560" s="33"/>
      <c r="K560" s="33"/>
      <c r="L560" s="33"/>
      <c r="M560" s="33"/>
    </row>
    <row r="561" spans="1:17" x14ac:dyDescent="0.25">
      <c r="A561" s="4"/>
      <c r="B561" s="4"/>
      <c r="G561" s="39"/>
      <c r="I561" s="32"/>
      <c r="J561" s="39"/>
      <c r="K561" s="33"/>
      <c r="L561" s="33"/>
      <c r="M561" s="33"/>
    </row>
    <row r="562" spans="1:17" x14ac:dyDescent="0.25">
      <c r="A562" s="4"/>
      <c r="B562" s="4"/>
      <c r="G562" s="39"/>
      <c r="I562" s="32"/>
      <c r="J562" s="39"/>
      <c r="K562" s="33"/>
      <c r="L562" s="33"/>
      <c r="M562" s="33"/>
    </row>
    <row r="563" spans="1:17" x14ac:dyDescent="0.25">
      <c r="A563" s="4"/>
      <c r="B563" s="13"/>
      <c r="G563" s="39"/>
      <c r="I563" s="32"/>
      <c r="J563" s="39"/>
      <c r="K563" s="33"/>
      <c r="L563" s="33"/>
    </row>
    <row r="564" spans="1:17" x14ac:dyDescent="0.25">
      <c r="A564" s="4"/>
      <c r="B564" s="4"/>
    </row>
    <row r="565" spans="1:17" x14ac:dyDescent="0.25">
      <c r="A565" s="4"/>
      <c r="B565" s="34"/>
    </row>
    <row r="566" spans="1:17" x14ac:dyDescent="0.25">
      <c r="A566" s="4"/>
      <c r="B566" s="13"/>
      <c r="C566" s="1"/>
    </row>
    <row r="567" spans="1:17" x14ac:dyDescent="0.25">
      <c r="A567" s="4"/>
      <c r="B567" s="4"/>
    </row>
    <row r="568" spans="1:17" x14ac:dyDescent="0.25">
      <c r="A568" s="4"/>
      <c r="B568" s="4"/>
    </row>
    <row r="569" spans="1:17" x14ac:dyDescent="0.25">
      <c r="A569" s="4"/>
      <c r="B569" s="13"/>
    </row>
    <row r="571" spans="1:17" x14ac:dyDescent="0.25">
      <c r="A571" s="22"/>
      <c r="B571" s="36"/>
    </row>
    <row r="574" spans="1:17" x14ac:dyDescent="0.25">
      <c r="A574" s="13"/>
      <c r="B574" s="13"/>
    </row>
    <row r="575" spans="1:17" x14ac:dyDescent="0.25">
      <c r="A575" s="13"/>
      <c r="B575" s="4"/>
    </row>
    <row r="576" spans="1:17" x14ac:dyDescent="0.25">
      <c r="A576" s="4"/>
      <c r="B576" s="4"/>
      <c r="H576" s="1"/>
      <c r="I576" s="1"/>
      <c r="K576" s="1"/>
      <c r="L576" s="13"/>
      <c r="N576" s="1"/>
      <c r="Q576" s="1"/>
    </row>
    <row r="577" spans="1:13" x14ac:dyDescent="0.25">
      <c r="A577" s="4"/>
      <c r="B577" s="4"/>
    </row>
    <row r="578" spans="1:13" x14ac:dyDescent="0.25">
      <c r="A578" s="4"/>
      <c r="B578" s="4"/>
    </row>
    <row r="579" spans="1:13" x14ac:dyDescent="0.25">
      <c r="A579" s="4"/>
      <c r="B579" s="4"/>
    </row>
    <row r="580" spans="1:13" x14ac:dyDescent="0.25">
      <c r="A580" s="4"/>
      <c r="B580" s="4"/>
    </row>
    <row r="581" spans="1:13" x14ac:dyDescent="0.25">
      <c r="A581" s="4"/>
      <c r="B581" s="4"/>
    </row>
    <row r="582" spans="1:13" x14ac:dyDescent="0.25">
      <c r="A582" s="4"/>
      <c r="B582" s="4"/>
    </row>
    <row r="583" spans="1:13" x14ac:dyDescent="0.25">
      <c r="A583" s="4"/>
      <c r="B583" s="4"/>
    </row>
    <row r="584" spans="1:13" x14ac:dyDescent="0.25">
      <c r="A584" s="4"/>
      <c r="B584" s="4"/>
    </row>
    <row r="585" spans="1:13" x14ac:dyDescent="0.25">
      <c r="A585" s="4"/>
      <c r="B585" s="4"/>
    </row>
    <row r="586" spans="1:13" x14ac:dyDescent="0.25">
      <c r="A586" s="4"/>
      <c r="B586" s="4"/>
    </row>
    <row r="587" spans="1:13" x14ac:dyDescent="0.25">
      <c r="A587" s="4"/>
      <c r="B587" s="4"/>
    </row>
    <row r="588" spans="1:13" x14ac:dyDescent="0.25">
      <c r="A588" s="4"/>
      <c r="B588" s="4"/>
      <c r="I588" s="4"/>
      <c r="K588" s="4"/>
    </row>
    <row r="589" spans="1:13" x14ac:dyDescent="0.25">
      <c r="A589" s="4"/>
      <c r="B589" s="4"/>
      <c r="I589" s="33"/>
      <c r="J589" s="33"/>
      <c r="K589" s="33"/>
      <c r="L589" s="33"/>
      <c r="M589" s="33"/>
    </row>
    <row r="590" spans="1:13" x14ac:dyDescent="0.25">
      <c r="A590" s="31"/>
      <c r="B590" s="13"/>
      <c r="C590" s="43"/>
      <c r="D590" s="43"/>
      <c r="E590" s="43"/>
      <c r="F590" s="43"/>
      <c r="I590" s="33"/>
      <c r="J590" s="33"/>
      <c r="K590" s="33"/>
      <c r="L590" s="33"/>
      <c r="M590" s="33"/>
    </row>
    <row r="591" spans="1:13" x14ac:dyDescent="0.25">
      <c r="A591" s="38"/>
      <c r="B591" s="4"/>
      <c r="C591" s="34"/>
      <c r="D591" s="4"/>
      <c r="E591" s="48"/>
      <c r="F591" s="48"/>
      <c r="I591" s="33"/>
      <c r="J591" s="33"/>
      <c r="K591" s="33"/>
      <c r="L591" s="33"/>
      <c r="M591" s="33"/>
    </row>
    <row r="592" spans="1:13" x14ac:dyDescent="0.25">
      <c r="A592" s="38"/>
      <c r="B592" s="4"/>
      <c r="C592" s="34"/>
      <c r="D592" s="4"/>
      <c r="E592" s="48"/>
      <c r="F592" s="48"/>
      <c r="I592" s="33"/>
      <c r="J592" s="33"/>
      <c r="K592" s="33"/>
      <c r="L592" s="33"/>
      <c r="M592" s="33"/>
    </row>
    <row r="593" spans="1:13" x14ac:dyDescent="0.25">
      <c r="A593" s="38"/>
      <c r="B593" s="4"/>
      <c r="C593" s="34"/>
      <c r="D593" s="4"/>
      <c r="E593" s="48"/>
      <c r="F593" s="48"/>
      <c r="I593" s="33"/>
      <c r="J593" s="33"/>
      <c r="K593" s="33"/>
      <c r="L593" s="33"/>
      <c r="M593" s="33"/>
    </row>
    <row r="594" spans="1:13" x14ac:dyDescent="0.25">
      <c r="A594" s="4"/>
      <c r="B594" s="4"/>
      <c r="G594" s="39"/>
      <c r="I594" s="32"/>
      <c r="J594" s="39"/>
      <c r="K594" s="33"/>
      <c r="L594" s="33"/>
      <c r="M594" s="33"/>
    </row>
    <row r="595" spans="1:13" x14ac:dyDescent="0.25">
      <c r="A595" s="4"/>
      <c r="B595" s="4"/>
      <c r="G595" s="39"/>
      <c r="I595" s="32"/>
      <c r="J595" s="39"/>
      <c r="K595" s="33"/>
      <c r="L595" s="33"/>
      <c r="M595" s="33"/>
    </row>
    <row r="596" spans="1:13" x14ac:dyDescent="0.25">
      <c r="A596" s="4"/>
      <c r="B596" s="13"/>
      <c r="G596" s="39"/>
      <c r="I596" s="32"/>
      <c r="J596" s="39"/>
      <c r="K596" s="33"/>
      <c r="L596" s="33"/>
    </row>
    <row r="597" spans="1:13" x14ac:dyDescent="0.25">
      <c r="A597" s="4"/>
      <c r="B597" s="4"/>
    </row>
    <row r="598" spans="1:13" x14ac:dyDescent="0.25">
      <c r="A598" s="4"/>
      <c r="B598" s="34"/>
    </row>
    <row r="599" spans="1:13" x14ac:dyDescent="0.25">
      <c r="A599" s="4"/>
      <c r="B599" s="13"/>
      <c r="C599" s="1"/>
    </row>
    <row r="600" spans="1:13" x14ac:dyDescent="0.25">
      <c r="A600" s="4"/>
      <c r="B600" s="4"/>
    </row>
    <row r="601" spans="1:13" x14ac:dyDescent="0.25">
      <c r="A601" s="4"/>
      <c r="B601" s="4"/>
    </row>
    <row r="602" spans="1:13" x14ac:dyDescent="0.25">
      <c r="A602" s="4"/>
      <c r="B602" s="13"/>
    </row>
    <row r="604" spans="1:13" x14ac:dyDescent="0.25">
      <c r="A604" s="22"/>
      <c r="B604" s="36"/>
    </row>
    <row r="607" spans="1:13" x14ac:dyDescent="0.25">
      <c r="A607" s="13"/>
      <c r="B607" s="13"/>
    </row>
    <row r="608" spans="1:13" x14ac:dyDescent="0.25">
      <c r="A608" s="13"/>
      <c r="B608" s="4"/>
    </row>
    <row r="609" spans="1:17" x14ac:dyDescent="0.25">
      <c r="A609" s="4"/>
      <c r="B609" s="4"/>
      <c r="H609" s="1"/>
      <c r="I609" s="1"/>
      <c r="K609" s="1"/>
      <c r="L609" s="13"/>
      <c r="N609" s="1"/>
      <c r="Q609" s="1"/>
    </row>
    <row r="610" spans="1:17" x14ac:dyDescent="0.25">
      <c r="A610" s="4"/>
      <c r="B610" s="4"/>
    </row>
    <row r="611" spans="1:17" x14ac:dyDescent="0.25">
      <c r="A611" s="4"/>
      <c r="B611" s="4"/>
    </row>
    <row r="612" spans="1:17" x14ac:dyDescent="0.25">
      <c r="A612" s="4"/>
      <c r="B612" s="4"/>
    </row>
    <row r="613" spans="1:17" x14ac:dyDescent="0.25">
      <c r="A613" s="4"/>
      <c r="B613" s="4"/>
    </row>
    <row r="614" spans="1:17" x14ac:dyDescent="0.25">
      <c r="A614" s="4"/>
      <c r="B614" s="4"/>
    </row>
    <row r="615" spans="1:17" x14ac:dyDescent="0.25">
      <c r="A615" s="4"/>
      <c r="B615" s="4"/>
    </row>
    <row r="616" spans="1:17" x14ac:dyDescent="0.25">
      <c r="A616" s="4"/>
      <c r="B616" s="4"/>
    </row>
    <row r="617" spans="1:17" x14ac:dyDescent="0.25">
      <c r="A617" s="4"/>
      <c r="B617" s="4"/>
    </row>
    <row r="618" spans="1:17" x14ac:dyDescent="0.25">
      <c r="A618" s="4"/>
      <c r="B618" s="4"/>
    </row>
    <row r="619" spans="1:17" x14ac:dyDescent="0.25">
      <c r="A619" s="4"/>
      <c r="B619" s="4"/>
    </row>
    <row r="620" spans="1:17" x14ac:dyDescent="0.25">
      <c r="A620" s="4"/>
      <c r="B620" s="4"/>
    </row>
    <row r="621" spans="1:17" x14ac:dyDescent="0.25">
      <c r="A621" s="4"/>
      <c r="B621" s="4"/>
      <c r="I621" s="4"/>
      <c r="K621" s="4"/>
    </row>
    <row r="622" spans="1:17" x14ac:dyDescent="0.25">
      <c r="A622" s="4"/>
      <c r="B622" s="4"/>
      <c r="I622" s="33"/>
      <c r="J622" s="33"/>
      <c r="K622" s="33"/>
      <c r="L622" s="33"/>
      <c r="M622" s="33"/>
    </row>
    <row r="623" spans="1:17" x14ac:dyDescent="0.25">
      <c r="A623" s="31"/>
      <c r="B623" s="13"/>
      <c r="C623" s="43"/>
      <c r="D623" s="43"/>
      <c r="E623" s="43"/>
      <c r="F623" s="43"/>
      <c r="I623" s="33"/>
      <c r="J623" s="33"/>
      <c r="K623" s="33"/>
      <c r="L623" s="33"/>
      <c r="M623" s="33"/>
    </row>
    <row r="624" spans="1:17" x14ac:dyDescent="0.25">
      <c r="A624" s="38"/>
      <c r="B624" s="4"/>
      <c r="C624" s="34"/>
      <c r="D624" s="4"/>
      <c r="E624" s="48"/>
      <c r="F624" s="48"/>
      <c r="I624" s="33"/>
      <c r="J624" s="33"/>
      <c r="K624" s="33"/>
      <c r="L624" s="33"/>
      <c r="M624" s="33"/>
    </row>
    <row r="625" spans="1:13" x14ac:dyDescent="0.25">
      <c r="A625" s="38"/>
      <c r="B625" s="4"/>
      <c r="C625" s="34"/>
      <c r="D625" s="4"/>
      <c r="E625" s="48"/>
      <c r="F625" s="48"/>
      <c r="I625" s="33"/>
      <c r="J625" s="33"/>
      <c r="K625" s="33"/>
      <c r="L625" s="33"/>
      <c r="M625" s="33"/>
    </row>
    <row r="626" spans="1:13" x14ac:dyDescent="0.25">
      <c r="A626" s="38"/>
      <c r="B626" s="4"/>
      <c r="C626" s="34"/>
      <c r="D626" s="4"/>
      <c r="E626" s="48"/>
      <c r="F626" s="48"/>
      <c r="I626" s="33"/>
      <c r="J626" s="33"/>
      <c r="K626" s="33"/>
      <c r="L626" s="33"/>
      <c r="M626" s="33"/>
    </row>
    <row r="627" spans="1:13" x14ac:dyDescent="0.25">
      <c r="A627" s="4"/>
      <c r="B627" s="4"/>
      <c r="G627" s="39"/>
      <c r="I627" s="32"/>
      <c r="J627" s="39"/>
      <c r="K627" s="33"/>
      <c r="L627" s="33"/>
      <c r="M627" s="33"/>
    </row>
    <row r="628" spans="1:13" x14ac:dyDescent="0.25">
      <c r="A628" s="4"/>
      <c r="B628" s="4"/>
      <c r="G628" s="39"/>
      <c r="I628" s="32"/>
      <c r="J628" s="39"/>
      <c r="K628" s="33"/>
      <c r="L628" s="33"/>
      <c r="M628" s="33"/>
    </row>
    <row r="629" spans="1:13" x14ac:dyDescent="0.25">
      <c r="A629" s="4"/>
      <c r="B629" s="13"/>
      <c r="G629" s="39"/>
      <c r="I629" s="32"/>
      <c r="J629" s="39"/>
      <c r="K629" s="33"/>
      <c r="L629" s="33"/>
    </row>
    <row r="630" spans="1:13" x14ac:dyDescent="0.25">
      <c r="A630" s="4"/>
      <c r="B630" s="4"/>
    </row>
    <row r="631" spans="1:13" x14ac:dyDescent="0.25">
      <c r="A631" s="4"/>
      <c r="B631" s="34"/>
    </row>
    <row r="632" spans="1:13" x14ac:dyDescent="0.25">
      <c r="A632" s="4"/>
      <c r="B632" s="13"/>
      <c r="C632" s="1"/>
    </row>
    <row r="633" spans="1:13" x14ac:dyDescent="0.25">
      <c r="A633" s="4"/>
      <c r="B633" s="4"/>
    </row>
    <row r="634" spans="1:13" x14ac:dyDescent="0.25">
      <c r="A634" s="4"/>
      <c r="B634" s="4"/>
    </row>
    <row r="635" spans="1:13" x14ac:dyDescent="0.25">
      <c r="A635" s="4"/>
      <c r="B635" s="13"/>
    </row>
    <row r="637" spans="1:13" x14ac:dyDescent="0.25">
      <c r="A637" s="22"/>
      <c r="B637" s="36"/>
    </row>
    <row r="640" spans="1:13" x14ac:dyDescent="0.25">
      <c r="A640" s="13"/>
      <c r="B640" s="13"/>
    </row>
    <row r="641" spans="1:17" x14ac:dyDescent="0.25">
      <c r="A641" s="13"/>
      <c r="B641" s="4"/>
    </row>
    <row r="642" spans="1:17" x14ac:dyDescent="0.25">
      <c r="A642" s="4"/>
      <c r="B642" s="4"/>
      <c r="H642" s="1"/>
      <c r="I642" s="1"/>
      <c r="K642" s="1"/>
      <c r="L642" s="13"/>
      <c r="N642" s="1"/>
      <c r="Q642" s="1"/>
    </row>
    <row r="643" spans="1:17" x14ac:dyDescent="0.25">
      <c r="A643" s="4"/>
      <c r="B643" s="4"/>
    </row>
    <row r="644" spans="1:17" x14ac:dyDescent="0.25">
      <c r="A644" s="4"/>
      <c r="B644" s="4"/>
    </row>
    <row r="645" spans="1:17" x14ac:dyDescent="0.25">
      <c r="A645" s="4"/>
      <c r="B645" s="4"/>
    </row>
    <row r="646" spans="1:17" x14ac:dyDescent="0.25">
      <c r="A646" s="4"/>
      <c r="B646" s="4"/>
    </row>
    <row r="647" spans="1:17" x14ac:dyDescent="0.25">
      <c r="A647" s="4"/>
      <c r="B647" s="4"/>
    </row>
    <row r="648" spans="1:17" x14ac:dyDescent="0.25">
      <c r="A648" s="4"/>
      <c r="B648" s="4"/>
    </row>
    <row r="649" spans="1:17" x14ac:dyDescent="0.25">
      <c r="A649" s="4"/>
      <c r="B649" s="4"/>
    </row>
    <row r="650" spans="1:17" x14ac:dyDescent="0.25">
      <c r="A650" s="4"/>
      <c r="B650" s="4"/>
    </row>
    <row r="651" spans="1:17" x14ac:dyDescent="0.25">
      <c r="A651" s="4"/>
      <c r="B651" s="4"/>
    </row>
    <row r="652" spans="1:17" x14ac:dyDescent="0.25">
      <c r="A652" s="4"/>
      <c r="B652" s="4"/>
    </row>
    <row r="653" spans="1:17" x14ac:dyDescent="0.25">
      <c r="A653" s="4"/>
      <c r="B653" s="4"/>
    </row>
    <row r="654" spans="1:17" x14ac:dyDescent="0.25">
      <c r="A654" s="4"/>
      <c r="B654" s="4"/>
      <c r="I654" s="4"/>
      <c r="K654" s="4"/>
    </row>
    <row r="655" spans="1:17" x14ac:dyDescent="0.25">
      <c r="A655" s="4"/>
      <c r="B655" s="4"/>
      <c r="I655" s="33"/>
      <c r="J655" s="33"/>
      <c r="K655" s="33"/>
      <c r="L655" s="33"/>
      <c r="M655" s="33"/>
    </row>
    <row r="656" spans="1:17" x14ac:dyDescent="0.25">
      <c r="A656" s="31"/>
      <c r="B656" s="13"/>
      <c r="C656" s="43"/>
      <c r="D656" s="43"/>
      <c r="E656" s="43"/>
      <c r="F656" s="43"/>
      <c r="I656" s="33"/>
      <c r="J656" s="33"/>
      <c r="K656" s="33"/>
      <c r="L656" s="33"/>
      <c r="M656" s="33"/>
    </row>
    <row r="657" spans="1:13" x14ac:dyDescent="0.25">
      <c r="A657" s="38"/>
      <c r="B657" s="4"/>
      <c r="C657" s="34"/>
      <c r="D657" s="4"/>
      <c r="E657" s="48"/>
      <c r="F657" s="48"/>
      <c r="I657" s="33"/>
      <c r="J657" s="33"/>
      <c r="K657" s="33"/>
      <c r="L657" s="33"/>
      <c r="M657" s="33"/>
    </row>
    <row r="658" spans="1:13" x14ac:dyDescent="0.25">
      <c r="A658" s="38"/>
      <c r="B658" s="4"/>
      <c r="C658" s="34"/>
      <c r="D658" s="4"/>
      <c r="E658" s="48"/>
      <c r="F658" s="48"/>
      <c r="I658" s="33"/>
      <c r="J658" s="33"/>
      <c r="K658" s="33"/>
      <c r="L658" s="33"/>
      <c r="M658" s="33"/>
    </row>
    <row r="659" spans="1:13" x14ac:dyDescent="0.25">
      <c r="A659" s="38"/>
      <c r="B659" s="4"/>
      <c r="C659" s="34"/>
      <c r="D659" s="4"/>
      <c r="E659" s="48"/>
      <c r="F659" s="48"/>
      <c r="I659" s="33"/>
      <c r="J659" s="33"/>
      <c r="K659" s="33"/>
      <c r="L659" s="33"/>
      <c r="M659" s="33"/>
    </row>
    <row r="660" spans="1:13" x14ac:dyDescent="0.25">
      <c r="A660" s="4"/>
      <c r="B660" s="4"/>
      <c r="G660" s="39"/>
      <c r="I660" s="32"/>
      <c r="J660" s="39"/>
      <c r="K660" s="33"/>
      <c r="L660" s="33"/>
      <c r="M660" s="33"/>
    </row>
    <row r="661" spans="1:13" x14ac:dyDescent="0.25">
      <c r="A661" s="4"/>
      <c r="B661" s="4"/>
      <c r="G661" s="39"/>
      <c r="I661" s="32"/>
      <c r="J661" s="39"/>
      <c r="K661" s="33"/>
      <c r="L661" s="33"/>
      <c r="M661" s="33"/>
    </row>
    <row r="662" spans="1:13" x14ac:dyDescent="0.25">
      <c r="A662" s="4"/>
      <c r="B662" s="13"/>
      <c r="G662" s="39"/>
      <c r="I662" s="32"/>
      <c r="J662" s="39"/>
      <c r="K662" s="33"/>
      <c r="L662" s="33"/>
    </row>
    <row r="663" spans="1:13" x14ac:dyDescent="0.25">
      <c r="A663" s="4"/>
      <c r="B663" s="4"/>
    </row>
    <row r="664" spans="1:13" x14ac:dyDescent="0.25">
      <c r="A664" s="4"/>
      <c r="B664" s="34"/>
    </row>
    <row r="665" spans="1:13" x14ac:dyDescent="0.25">
      <c r="A665" s="4"/>
      <c r="B665" s="13"/>
      <c r="C665" s="1"/>
    </row>
    <row r="666" spans="1:13" x14ac:dyDescent="0.25">
      <c r="A666" s="4"/>
      <c r="B666" s="4"/>
    </row>
    <row r="667" spans="1:13" x14ac:dyDescent="0.25">
      <c r="A667" s="4"/>
      <c r="B667" s="4"/>
    </row>
    <row r="668" spans="1:13" x14ac:dyDescent="0.25">
      <c r="A668" s="4"/>
      <c r="B668" s="13"/>
    </row>
    <row r="670" spans="1:13" x14ac:dyDescent="0.25">
      <c r="A670" s="22"/>
      <c r="B670" s="36"/>
    </row>
    <row r="673" spans="1:17" x14ac:dyDescent="0.25">
      <c r="A673" s="13"/>
      <c r="B673" s="13"/>
    </row>
    <row r="674" spans="1:17" x14ac:dyDescent="0.25">
      <c r="A674" s="13"/>
      <c r="B674" s="4"/>
    </row>
    <row r="675" spans="1:17" x14ac:dyDescent="0.25">
      <c r="A675" s="4"/>
      <c r="B675" s="4"/>
      <c r="H675" s="1"/>
      <c r="I675" s="1"/>
      <c r="K675" s="1"/>
      <c r="L675" s="13"/>
      <c r="N675" s="1"/>
      <c r="Q675" s="1"/>
    </row>
    <row r="676" spans="1:17" x14ac:dyDescent="0.25">
      <c r="A676" s="4"/>
      <c r="B676" s="4"/>
    </row>
    <row r="677" spans="1:17" x14ac:dyDescent="0.25">
      <c r="A677" s="4"/>
      <c r="B677" s="4"/>
    </row>
    <row r="678" spans="1:17" x14ac:dyDescent="0.25">
      <c r="A678" s="4"/>
      <c r="B678" s="4"/>
    </row>
    <row r="679" spans="1:17" x14ac:dyDescent="0.25">
      <c r="A679" s="4"/>
      <c r="B679" s="4"/>
    </row>
    <row r="680" spans="1:17" x14ac:dyDescent="0.25">
      <c r="A680" s="4"/>
      <c r="B680" s="4"/>
    </row>
    <row r="681" spans="1:17" x14ac:dyDescent="0.25">
      <c r="A681" s="4"/>
      <c r="B681" s="4"/>
    </row>
    <row r="682" spans="1:17" x14ac:dyDescent="0.25">
      <c r="A682" s="4"/>
      <c r="B682" s="4"/>
    </row>
    <row r="683" spans="1:17" x14ac:dyDescent="0.25">
      <c r="A683" s="4"/>
      <c r="B683" s="4"/>
    </row>
    <row r="684" spans="1:17" x14ac:dyDescent="0.25">
      <c r="A684" s="4"/>
      <c r="B684" s="4"/>
    </row>
    <row r="685" spans="1:17" x14ac:dyDescent="0.25">
      <c r="A685" s="4"/>
      <c r="B685" s="4"/>
    </row>
    <row r="686" spans="1:17" x14ac:dyDescent="0.25">
      <c r="A686" s="4"/>
      <c r="B686" s="4"/>
    </row>
    <row r="687" spans="1:17" x14ac:dyDescent="0.25">
      <c r="A687" s="4"/>
      <c r="B687" s="4"/>
      <c r="I687" s="4"/>
      <c r="K687" s="4"/>
    </row>
    <row r="688" spans="1:17" x14ac:dyDescent="0.25">
      <c r="A688" s="4"/>
      <c r="B688" s="4"/>
      <c r="I688" s="33"/>
      <c r="J688" s="33"/>
      <c r="K688" s="33"/>
      <c r="L688" s="33"/>
      <c r="M688" s="33"/>
    </row>
    <row r="689" spans="1:13" x14ac:dyDescent="0.25">
      <c r="A689" s="31"/>
      <c r="B689" s="13"/>
      <c r="C689" s="43"/>
      <c r="D689" s="43"/>
      <c r="E689" s="43"/>
      <c r="F689" s="43"/>
      <c r="I689" s="33"/>
      <c r="J689" s="33"/>
      <c r="K689" s="33"/>
      <c r="L689" s="33"/>
      <c r="M689" s="33"/>
    </row>
    <row r="690" spans="1:13" x14ac:dyDescent="0.25">
      <c r="A690" s="38"/>
      <c r="B690" s="4"/>
      <c r="C690" s="34"/>
      <c r="D690" s="4"/>
      <c r="E690" s="48"/>
      <c r="F690" s="48"/>
      <c r="I690" s="33"/>
      <c r="J690" s="33"/>
      <c r="K690" s="33"/>
      <c r="L690" s="33"/>
      <c r="M690" s="33"/>
    </row>
    <row r="691" spans="1:13" x14ac:dyDescent="0.25">
      <c r="A691" s="38"/>
      <c r="B691" s="4"/>
      <c r="C691" s="34"/>
      <c r="D691" s="4"/>
      <c r="E691" s="48"/>
      <c r="F691" s="48"/>
      <c r="I691" s="33"/>
      <c r="J691" s="33"/>
      <c r="K691" s="33"/>
      <c r="L691" s="33"/>
      <c r="M691" s="33"/>
    </row>
    <row r="692" spans="1:13" x14ac:dyDescent="0.25">
      <c r="A692" s="38"/>
      <c r="B692" s="4"/>
      <c r="C692" s="34"/>
      <c r="D692" s="4"/>
      <c r="E692" s="48"/>
      <c r="F692" s="48"/>
      <c r="I692" s="33"/>
      <c r="J692" s="33"/>
      <c r="K692" s="33"/>
      <c r="L692" s="33"/>
      <c r="M692" s="33"/>
    </row>
    <row r="693" spans="1:13" x14ac:dyDescent="0.25">
      <c r="A693" s="4"/>
      <c r="B693" s="4"/>
      <c r="G693" s="39"/>
      <c r="I693" s="32"/>
      <c r="J693" s="39"/>
      <c r="K693" s="33"/>
      <c r="L693" s="33"/>
      <c r="M693" s="33"/>
    </row>
    <row r="694" spans="1:13" x14ac:dyDescent="0.25">
      <c r="A694" s="4"/>
      <c r="B694" s="4"/>
      <c r="G694" s="39"/>
      <c r="I694" s="32"/>
      <c r="J694" s="39"/>
      <c r="K694" s="33"/>
      <c r="L694" s="33"/>
      <c r="M694" s="33"/>
    </row>
    <row r="695" spans="1:13" x14ac:dyDescent="0.25">
      <c r="A695" s="4"/>
      <c r="B695" s="13"/>
      <c r="G695" s="39"/>
      <c r="I695" s="32"/>
      <c r="J695" s="39"/>
      <c r="K695" s="33"/>
      <c r="L695" s="33"/>
    </row>
    <row r="696" spans="1:13" x14ac:dyDescent="0.25">
      <c r="A696" s="4"/>
      <c r="B696" s="4"/>
    </row>
    <row r="697" spans="1:13" x14ac:dyDescent="0.25">
      <c r="A697" s="4"/>
      <c r="B697" s="34"/>
    </row>
    <row r="698" spans="1:13" x14ac:dyDescent="0.25">
      <c r="A698" s="4"/>
      <c r="B698" s="13"/>
      <c r="C698" s="1"/>
    </row>
    <row r="699" spans="1:13" x14ac:dyDescent="0.25">
      <c r="A699" s="4"/>
      <c r="B699" s="4"/>
    </row>
    <row r="700" spans="1:13" x14ac:dyDescent="0.25">
      <c r="A700" s="4"/>
      <c r="B700" s="4"/>
    </row>
    <row r="701" spans="1:13" x14ac:dyDescent="0.25">
      <c r="A701" s="4"/>
      <c r="B701" s="13"/>
    </row>
    <row r="703" spans="1:13" x14ac:dyDescent="0.25">
      <c r="A703" s="22"/>
      <c r="B703" s="36"/>
    </row>
    <row r="706" spans="1:17" x14ac:dyDescent="0.25">
      <c r="A706" s="13"/>
      <c r="B706" s="13"/>
    </row>
    <row r="707" spans="1:17" x14ac:dyDescent="0.25">
      <c r="A707" s="13"/>
      <c r="B707" s="4"/>
    </row>
    <row r="708" spans="1:17" x14ac:dyDescent="0.25">
      <c r="A708" s="4"/>
      <c r="B708" s="4"/>
      <c r="H708" s="1"/>
      <c r="I708" s="1"/>
      <c r="K708" s="1"/>
      <c r="L708" s="13"/>
      <c r="N708" s="1"/>
      <c r="Q708" s="1"/>
    </row>
    <row r="709" spans="1:17" x14ac:dyDescent="0.25">
      <c r="A709" s="4"/>
      <c r="B709" s="4"/>
    </row>
    <row r="710" spans="1:17" x14ac:dyDescent="0.25">
      <c r="A710" s="4"/>
      <c r="B710" s="4"/>
    </row>
    <row r="711" spans="1:17" x14ac:dyDescent="0.25">
      <c r="A711" s="4"/>
      <c r="B711" s="4"/>
    </row>
    <row r="712" spans="1:17" x14ac:dyDescent="0.25">
      <c r="A712" s="4"/>
      <c r="B712" s="4"/>
    </row>
    <row r="713" spans="1:17" x14ac:dyDescent="0.25">
      <c r="A713" s="4"/>
      <c r="B713" s="4"/>
    </row>
    <row r="714" spans="1:17" x14ac:dyDescent="0.25">
      <c r="A714" s="4"/>
      <c r="B714" s="4"/>
    </row>
    <row r="715" spans="1:17" x14ac:dyDescent="0.25">
      <c r="A715" s="4"/>
      <c r="B715" s="4"/>
    </row>
    <row r="716" spans="1:17" x14ac:dyDescent="0.25">
      <c r="A716" s="4"/>
      <c r="B716" s="4"/>
    </row>
    <row r="717" spans="1:17" x14ac:dyDescent="0.25">
      <c r="A717" s="4"/>
      <c r="B717" s="4"/>
    </row>
    <row r="718" spans="1:17" x14ac:dyDescent="0.25">
      <c r="A718" s="4"/>
      <c r="B718" s="4"/>
    </row>
    <row r="719" spans="1:17" x14ac:dyDescent="0.25">
      <c r="A719" s="4"/>
      <c r="B719" s="4"/>
    </row>
    <row r="720" spans="1:17" x14ac:dyDescent="0.25">
      <c r="A720" s="4"/>
      <c r="B720" s="4"/>
      <c r="I720" s="4"/>
      <c r="K720" s="4"/>
    </row>
    <row r="721" spans="1:13" x14ac:dyDescent="0.25">
      <c r="A721" s="4"/>
      <c r="B721" s="4"/>
      <c r="I721" s="33"/>
      <c r="J721" s="33"/>
      <c r="K721" s="33"/>
      <c r="L721" s="33"/>
      <c r="M721" s="33"/>
    </row>
    <row r="722" spans="1:13" x14ac:dyDescent="0.25">
      <c r="A722" s="31"/>
      <c r="B722" s="13"/>
      <c r="C722" s="43"/>
      <c r="D722" s="43"/>
      <c r="E722" s="43"/>
      <c r="F722" s="43"/>
      <c r="I722" s="33"/>
      <c r="J722" s="33"/>
      <c r="K722" s="33"/>
      <c r="L722" s="33"/>
      <c r="M722" s="33"/>
    </row>
    <row r="723" spans="1:13" x14ac:dyDescent="0.25">
      <c r="A723" s="38"/>
      <c r="B723" s="4"/>
      <c r="C723" s="34"/>
      <c r="D723" s="4"/>
      <c r="E723" s="48"/>
      <c r="F723" s="48"/>
      <c r="I723" s="33"/>
      <c r="J723" s="33"/>
      <c r="K723" s="33"/>
      <c r="L723" s="33"/>
      <c r="M723" s="33"/>
    </row>
    <row r="724" spans="1:13" x14ac:dyDescent="0.25">
      <c r="A724" s="38"/>
      <c r="B724" s="4"/>
      <c r="C724" s="34"/>
      <c r="D724" s="4"/>
      <c r="E724" s="48"/>
      <c r="F724" s="48"/>
      <c r="I724" s="33"/>
      <c r="J724" s="33"/>
      <c r="K724" s="33"/>
      <c r="L724" s="33"/>
      <c r="M724" s="33"/>
    </row>
    <row r="725" spans="1:13" x14ac:dyDescent="0.25">
      <c r="A725" s="38"/>
      <c r="B725" s="4"/>
      <c r="C725" s="34"/>
      <c r="D725" s="4"/>
      <c r="E725" s="48"/>
      <c r="F725" s="48"/>
      <c r="I725" s="33"/>
      <c r="J725" s="33"/>
      <c r="K725" s="33"/>
      <c r="L725" s="33"/>
      <c r="M725" s="33"/>
    </row>
    <row r="726" spans="1:13" x14ac:dyDescent="0.25">
      <c r="A726" s="4"/>
      <c r="B726" s="4"/>
      <c r="G726" s="39"/>
      <c r="I726" s="32"/>
      <c r="J726" s="39"/>
      <c r="K726" s="33"/>
      <c r="L726" s="33"/>
      <c r="M726" s="33"/>
    </row>
    <row r="727" spans="1:13" x14ac:dyDescent="0.25">
      <c r="A727" s="4"/>
      <c r="B727" s="4"/>
      <c r="G727" s="39"/>
      <c r="I727" s="32"/>
      <c r="J727" s="39"/>
      <c r="K727" s="33"/>
      <c r="L727" s="33"/>
      <c r="M727" s="33"/>
    </row>
    <row r="728" spans="1:13" x14ac:dyDescent="0.25">
      <c r="A728" s="4"/>
      <c r="B728" s="13"/>
      <c r="G728" s="39"/>
      <c r="I728" s="32"/>
      <c r="J728" s="39"/>
      <c r="K728" s="33"/>
      <c r="L728" s="33"/>
    </row>
    <row r="729" spans="1:13" x14ac:dyDescent="0.25">
      <c r="A729" s="4"/>
      <c r="B729" s="4"/>
    </row>
    <row r="730" spans="1:13" x14ac:dyDescent="0.25">
      <c r="A730" s="4"/>
      <c r="B730" s="34"/>
    </row>
    <row r="731" spans="1:13" x14ac:dyDescent="0.25">
      <c r="A731" s="4"/>
      <c r="B731" s="13"/>
      <c r="C731" s="1"/>
    </row>
    <row r="732" spans="1:13" x14ac:dyDescent="0.25">
      <c r="A732" s="4"/>
      <c r="B732" s="4"/>
    </row>
    <row r="733" spans="1:13" x14ac:dyDescent="0.25">
      <c r="A733" s="4"/>
      <c r="B733" s="4"/>
    </row>
    <row r="734" spans="1:13" x14ac:dyDescent="0.25">
      <c r="A734" s="4"/>
      <c r="B734" s="13"/>
    </row>
    <row r="736" spans="1:13" x14ac:dyDescent="0.25">
      <c r="A736" s="22"/>
      <c r="B736" s="36"/>
    </row>
  </sheetData>
  <autoFilter ref="B1:B739" xr:uid="{BC5052C4-C152-469F-A5D0-832641259281}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D198-CCE4-4EBE-AB19-39FEBB68F378}">
  <dimension ref="A1:M240"/>
  <sheetViews>
    <sheetView zoomScale="120" zoomScaleNormal="120" workbookViewId="0">
      <selection activeCell="B61" sqref="B61"/>
    </sheetView>
  </sheetViews>
  <sheetFormatPr defaultColWidth="8.85546875" defaultRowHeight="15" x14ac:dyDescent="0.25"/>
  <cols>
    <col min="1" max="1" width="23.140625" customWidth="1"/>
    <col min="2" max="2" width="11.85546875" customWidth="1"/>
    <col min="3" max="3" width="34.85546875" customWidth="1"/>
    <col min="6" max="7" width="8.85546875" customWidth="1"/>
    <col min="8" max="8" width="12.140625" style="37" customWidth="1"/>
    <col min="9" max="9" width="14.42578125" customWidth="1"/>
    <col min="10" max="12" width="8.85546875" customWidth="1"/>
    <col min="13" max="13" width="12.140625" customWidth="1"/>
  </cols>
  <sheetData>
    <row r="1" spans="1:13" x14ac:dyDescent="0.25">
      <c r="A1" t="s">
        <v>190</v>
      </c>
    </row>
    <row r="3" spans="1:13" x14ac:dyDescent="0.25">
      <c r="A3" s="1" t="s">
        <v>106</v>
      </c>
      <c r="B3" s="1" t="s">
        <v>79</v>
      </c>
    </row>
    <row r="4" spans="1:13" x14ac:dyDescent="0.25">
      <c r="A4" s="1" t="s">
        <v>191</v>
      </c>
      <c r="B4" t="s">
        <v>583</v>
      </c>
    </row>
    <row r="5" spans="1:13" x14ac:dyDescent="0.25">
      <c r="G5" s="1" t="s">
        <v>114</v>
      </c>
      <c r="K5" s="1" t="s">
        <v>76</v>
      </c>
    </row>
    <row r="6" spans="1:13" x14ac:dyDescent="0.25">
      <c r="B6" s="1" t="s">
        <v>196</v>
      </c>
      <c r="C6" s="1" t="s">
        <v>125</v>
      </c>
      <c r="G6" t="s">
        <v>198</v>
      </c>
      <c r="H6" s="37" t="s">
        <v>126</v>
      </c>
      <c r="I6" t="s">
        <v>155</v>
      </c>
      <c r="K6" t="s">
        <v>198</v>
      </c>
      <c r="L6" t="s">
        <v>126</v>
      </c>
      <c r="M6" t="s">
        <v>155</v>
      </c>
    </row>
    <row r="7" spans="1:13" x14ac:dyDescent="0.25">
      <c r="A7" s="41" t="s">
        <v>193</v>
      </c>
      <c r="B7" s="53">
        <v>190</v>
      </c>
      <c r="C7" s="41"/>
      <c r="G7">
        <f>B7</f>
        <v>190</v>
      </c>
      <c r="H7" s="37">
        <f>B8+3.4</f>
        <v>26.4</v>
      </c>
      <c r="I7" s="30">
        <f>G7*H7</f>
        <v>5016</v>
      </c>
      <c r="K7">
        <f>B7</f>
        <v>190</v>
      </c>
      <c r="L7" s="37">
        <v>12</v>
      </c>
      <c r="M7" s="30">
        <f>K7*L7</f>
        <v>2280</v>
      </c>
    </row>
    <row r="8" spans="1:13" x14ac:dyDescent="0.25">
      <c r="A8" s="41" t="s">
        <v>197</v>
      </c>
      <c r="B8" s="54">
        <v>23</v>
      </c>
      <c r="C8" s="41" t="s">
        <v>204</v>
      </c>
      <c r="G8">
        <f t="shared" ref="G8" si="0">B8</f>
        <v>23</v>
      </c>
      <c r="I8" s="30">
        <f t="shared" ref="I8" si="1">G8*H8</f>
        <v>0</v>
      </c>
      <c r="L8" s="37"/>
      <c r="M8" s="30">
        <f t="shared" ref="M8:M23" si="2">K8*L8</f>
        <v>0</v>
      </c>
    </row>
    <row r="9" spans="1:13" x14ac:dyDescent="0.25">
      <c r="A9" s="52"/>
      <c r="B9" s="4"/>
      <c r="C9" s="52"/>
      <c r="I9" s="30"/>
      <c r="L9" s="37"/>
      <c r="M9" s="30">
        <f t="shared" si="2"/>
        <v>0</v>
      </c>
    </row>
    <row r="10" spans="1:13" x14ac:dyDescent="0.25">
      <c r="A10" s="41" t="s">
        <v>206</v>
      </c>
      <c r="B10" s="53"/>
      <c r="C10" s="41"/>
      <c r="G10">
        <f t="shared" ref="G10" si="3">B10</f>
        <v>0</v>
      </c>
      <c r="H10" s="37">
        <v>5.5</v>
      </c>
      <c r="I10" s="30">
        <f t="shared" ref="I10:I11" si="4">G10*H10</f>
        <v>0</v>
      </c>
      <c r="K10">
        <f>B10</f>
        <v>0</v>
      </c>
      <c r="L10" s="37">
        <v>15.12</v>
      </c>
      <c r="M10" s="30">
        <f t="shared" si="2"/>
        <v>0</v>
      </c>
    </row>
    <row r="11" spans="1:13" x14ac:dyDescent="0.25">
      <c r="A11" s="41" t="s">
        <v>197</v>
      </c>
      <c r="B11" s="54"/>
      <c r="C11" s="41" t="s">
        <v>205</v>
      </c>
      <c r="G11">
        <f>B10</f>
        <v>0</v>
      </c>
      <c r="H11" s="37">
        <f>B11</f>
        <v>0</v>
      </c>
      <c r="I11" s="30">
        <f t="shared" si="4"/>
        <v>0</v>
      </c>
      <c r="L11" s="37"/>
      <c r="M11" s="30">
        <f t="shared" si="2"/>
        <v>0</v>
      </c>
    </row>
    <row r="12" spans="1:13" x14ac:dyDescent="0.25">
      <c r="A12" s="52"/>
      <c r="B12" s="4"/>
      <c r="C12" s="52"/>
      <c r="I12" s="30"/>
      <c r="L12" s="37"/>
      <c r="M12" s="30">
        <f t="shared" si="2"/>
        <v>0</v>
      </c>
    </row>
    <row r="13" spans="1:13" x14ac:dyDescent="0.25">
      <c r="A13" s="41" t="s">
        <v>207</v>
      </c>
      <c r="B13" s="53"/>
      <c r="C13" s="41"/>
      <c r="G13">
        <f>B13</f>
        <v>0</v>
      </c>
      <c r="H13" s="37">
        <v>5.5</v>
      </c>
      <c r="I13" s="30">
        <f t="shared" ref="I13:I14" si="5">G13*H13</f>
        <v>0</v>
      </c>
      <c r="K13">
        <f>B13</f>
        <v>0</v>
      </c>
      <c r="L13" s="37">
        <v>18</v>
      </c>
      <c r="M13" s="30">
        <f t="shared" si="2"/>
        <v>0</v>
      </c>
    </row>
    <row r="14" spans="1:13" x14ac:dyDescent="0.25">
      <c r="A14" s="41" t="s">
        <v>197</v>
      </c>
      <c r="B14" s="53"/>
      <c r="C14" s="41" t="s">
        <v>208</v>
      </c>
      <c r="G14">
        <f>B13</f>
        <v>0</v>
      </c>
      <c r="H14" s="37">
        <f>B14</f>
        <v>0</v>
      </c>
      <c r="I14" s="30">
        <f t="shared" si="5"/>
        <v>0</v>
      </c>
      <c r="L14" s="37"/>
      <c r="M14" s="30">
        <f t="shared" si="2"/>
        <v>0</v>
      </c>
    </row>
    <row r="15" spans="1:13" x14ac:dyDescent="0.25">
      <c r="A15" s="52"/>
      <c r="B15" s="4"/>
      <c r="C15" s="52"/>
      <c r="I15" s="30"/>
      <c r="L15" s="37"/>
      <c r="M15" s="30">
        <f t="shared" si="2"/>
        <v>0</v>
      </c>
    </row>
    <row r="16" spans="1:13" x14ac:dyDescent="0.25">
      <c r="A16" s="41" t="s">
        <v>573</v>
      </c>
      <c r="B16" s="53"/>
      <c r="C16" s="41"/>
      <c r="G16">
        <f t="shared" ref="G16" si="6">B16</f>
        <v>0</v>
      </c>
      <c r="H16" s="37">
        <v>17</v>
      </c>
      <c r="I16" s="30">
        <f t="shared" ref="I16:I17" si="7">G16*H16</f>
        <v>0</v>
      </c>
      <c r="K16">
        <f>B16</f>
        <v>0</v>
      </c>
      <c r="L16" s="37">
        <v>27.9</v>
      </c>
      <c r="M16" s="30">
        <f t="shared" si="2"/>
        <v>0</v>
      </c>
    </row>
    <row r="17" spans="1:13" x14ac:dyDescent="0.25">
      <c r="A17" s="41" t="s">
        <v>195</v>
      </c>
      <c r="B17" s="53"/>
      <c r="C17" s="51"/>
      <c r="G17">
        <f>B17*4</f>
        <v>0</v>
      </c>
      <c r="H17" s="37">
        <v>2.4</v>
      </c>
      <c r="I17" s="30">
        <f t="shared" si="7"/>
        <v>0</v>
      </c>
      <c r="K17">
        <f>B17</f>
        <v>0</v>
      </c>
      <c r="L17" s="37">
        <v>25.1</v>
      </c>
      <c r="M17" s="30">
        <f t="shared" si="2"/>
        <v>0</v>
      </c>
    </row>
    <row r="18" spans="1:13" x14ac:dyDescent="0.25">
      <c r="A18" s="41" t="s">
        <v>200</v>
      </c>
      <c r="B18" s="54"/>
      <c r="C18" s="51" t="s">
        <v>201</v>
      </c>
      <c r="I18" s="30"/>
      <c r="L18" s="37"/>
      <c r="M18" s="30">
        <f t="shared" si="2"/>
        <v>0</v>
      </c>
    </row>
    <row r="19" spans="1:13" x14ac:dyDescent="0.25">
      <c r="A19" s="52"/>
      <c r="B19" s="4"/>
      <c r="C19" s="52"/>
      <c r="L19" s="37"/>
      <c r="M19" s="30">
        <f t="shared" si="2"/>
        <v>0</v>
      </c>
    </row>
    <row r="20" spans="1:13" x14ac:dyDescent="0.25">
      <c r="A20" s="41" t="s">
        <v>199</v>
      </c>
      <c r="B20" s="53"/>
      <c r="C20" s="41"/>
      <c r="G20">
        <f>B20</f>
        <v>0</v>
      </c>
      <c r="H20" s="37">
        <f>B21</f>
        <v>0</v>
      </c>
      <c r="I20" s="30">
        <f>G20*H20*1.1</f>
        <v>0</v>
      </c>
      <c r="L20" s="37"/>
      <c r="M20" s="30">
        <f t="shared" si="2"/>
        <v>0</v>
      </c>
    </row>
    <row r="21" spans="1:13" x14ac:dyDescent="0.25">
      <c r="A21" s="41" t="s">
        <v>202</v>
      </c>
      <c r="B21" s="54"/>
      <c r="C21" s="41"/>
      <c r="L21" s="37"/>
      <c r="M21" s="30">
        <f t="shared" si="2"/>
        <v>0</v>
      </c>
    </row>
    <row r="22" spans="1:13" x14ac:dyDescent="0.25">
      <c r="A22" s="52"/>
      <c r="C22" s="52"/>
      <c r="L22" s="37"/>
      <c r="M22" s="30">
        <f t="shared" si="2"/>
        <v>0</v>
      </c>
    </row>
    <row r="23" spans="1:13" x14ac:dyDescent="0.25">
      <c r="A23" s="41" t="s">
        <v>203</v>
      </c>
      <c r="B23" s="55">
        <v>500</v>
      </c>
      <c r="C23" s="41"/>
      <c r="I23" s="30">
        <f>B23</f>
        <v>500</v>
      </c>
      <c r="L23" s="37"/>
      <c r="M23" s="30">
        <f t="shared" si="2"/>
        <v>0</v>
      </c>
    </row>
    <row r="25" spans="1:13" x14ac:dyDescent="0.25">
      <c r="H25" s="37" t="s">
        <v>209</v>
      </c>
      <c r="I25" s="30">
        <f>SUM(I7:I23)</f>
        <v>5516</v>
      </c>
      <c r="L25" t="s">
        <v>209</v>
      </c>
      <c r="M25" s="30">
        <f>SUM(M7:M24)</f>
        <v>2280</v>
      </c>
    </row>
    <row r="26" spans="1:13" x14ac:dyDescent="0.25">
      <c r="A26" t="s">
        <v>153</v>
      </c>
      <c r="B26" s="30">
        <f>I25/((100-B27)/100)</f>
        <v>5516</v>
      </c>
    </row>
    <row r="27" spans="1:13" x14ac:dyDescent="0.25">
      <c r="A27" t="s">
        <v>169</v>
      </c>
      <c r="B27">
        <v>0</v>
      </c>
    </row>
    <row r="29" spans="1:13" x14ac:dyDescent="0.25">
      <c r="A29" t="s">
        <v>210</v>
      </c>
      <c r="B29" s="30">
        <f>M25*((100+B30)/100)</f>
        <v>2850</v>
      </c>
    </row>
    <row r="30" spans="1:13" x14ac:dyDescent="0.25">
      <c r="A30" t="s">
        <v>154</v>
      </c>
      <c r="B30">
        <v>25</v>
      </c>
    </row>
    <row r="33" spans="1:13" x14ac:dyDescent="0.25">
      <c r="A33" s="1" t="s">
        <v>107</v>
      </c>
      <c r="B33" s="1" t="s">
        <v>79</v>
      </c>
    </row>
    <row r="34" spans="1:13" x14ac:dyDescent="0.25">
      <c r="A34" s="1" t="s">
        <v>191</v>
      </c>
      <c r="B34" t="s">
        <v>642</v>
      </c>
    </row>
    <row r="35" spans="1:13" x14ac:dyDescent="0.25">
      <c r="G35" s="1" t="s">
        <v>114</v>
      </c>
      <c r="K35" s="1" t="s">
        <v>76</v>
      </c>
    </row>
    <row r="36" spans="1:13" x14ac:dyDescent="0.25">
      <c r="B36" s="1" t="s">
        <v>196</v>
      </c>
      <c r="C36" s="1" t="s">
        <v>125</v>
      </c>
      <c r="G36" t="s">
        <v>198</v>
      </c>
      <c r="H36" s="37" t="s">
        <v>126</v>
      </c>
      <c r="I36" t="s">
        <v>155</v>
      </c>
      <c r="K36" t="s">
        <v>198</v>
      </c>
      <c r="L36" t="s">
        <v>126</v>
      </c>
      <c r="M36" t="s">
        <v>155</v>
      </c>
    </row>
    <row r="37" spans="1:13" x14ac:dyDescent="0.25">
      <c r="A37" s="41" t="s">
        <v>193</v>
      </c>
      <c r="B37" s="53"/>
      <c r="C37" s="41"/>
      <c r="G37">
        <f>B37</f>
        <v>0</v>
      </c>
      <c r="H37" s="37">
        <f>B38+3.4</f>
        <v>3.4</v>
      </c>
      <c r="I37" s="30">
        <f>G37*H37</f>
        <v>0</v>
      </c>
      <c r="K37">
        <f>B37</f>
        <v>0</v>
      </c>
      <c r="L37" s="37">
        <v>12</v>
      </c>
      <c r="M37" s="30">
        <f>K37*L37</f>
        <v>0</v>
      </c>
    </row>
    <row r="38" spans="1:13" x14ac:dyDescent="0.25">
      <c r="A38" s="41" t="s">
        <v>197</v>
      </c>
      <c r="B38" s="54"/>
      <c r="C38" s="41" t="s">
        <v>204</v>
      </c>
      <c r="G38">
        <f t="shared" ref="G38" si="8">B38</f>
        <v>0</v>
      </c>
      <c r="I38" s="30">
        <f t="shared" ref="I38" si="9">G38*H38</f>
        <v>0</v>
      </c>
      <c r="L38" s="37"/>
      <c r="M38" s="30">
        <f t="shared" ref="M38:M53" si="10">K38*L38</f>
        <v>0</v>
      </c>
    </row>
    <row r="39" spans="1:13" x14ac:dyDescent="0.25">
      <c r="A39" s="52"/>
      <c r="B39" s="4"/>
      <c r="C39" s="52"/>
      <c r="I39" s="30"/>
      <c r="L39" s="37"/>
      <c r="M39" s="30">
        <f t="shared" si="10"/>
        <v>0</v>
      </c>
    </row>
    <row r="40" spans="1:13" x14ac:dyDescent="0.25">
      <c r="A40" s="41" t="s">
        <v>206</v>
      </c>
      <c r="B40" s="53">
        <v>70</v>
      </c>
      <c r="C40" s="41"/>
      <c r="G40">
        <f t="shared" ref="G40" si="11">B40</f>
        <v>70</v>
      </c>
      <c r="H40" s="37">
        <v>5.5</v>
      </c>
      <c r="I40" s="30">
        <f t="shared" ref="I40:I41" si="12">G40*H40</f>
        <v>385</v>
      </c>
      <c r="K40">
        <f>B40</f>
        <v>70</v>
      </c>
      <c r="L40" s="37">
        <v>20</v>
      </c>
      <c r="M40" s="30">
        <f t="shared" si="10"/>
        <v>1400</v>
      </c>
    </row>
    <row r="41" spans="1:13" x14ac:dyDescent="0.25">
      <c r="A41" s="41" t="s">
        <v>197</v>
      </c>
      <c r="B41" s="54">
        <v>23</v>
      </c>
      <c r="C41" s="41" t="s">
        <v>205</v>
      </c>
      <c r="G41">
        <f>B40</f>
        <v>70</v>
      </c>
      <c r="H41" s="37">
        <f>B41</f>
        <v>23</v>
      </c>
      <c r="I41" s="30">
        <f t="shared" si="12"/>
        <v>1610</v>
      </c>
      <c r="L41" s="37"/>
      <c r="M41" s="30">
        <f t="shared" si="10"/>
        <v>0</v>
      </c>
    </row>
    <row r="42" spans="1:13" x14ac:dyDescent="0.25">
      <c r="A42" s="52"/>
      <c r="B42" s="4"/>
      <c r="C42" s="52"/>
      <c r="I42" s="30"/>
      <c r="L42" s="37"/>
      <c r="M42" s="30">
        <f t="shared" si="10"/>
        <v>0</v>
      </c>
    </row>
    <row r="43" spans="1:13" x14ac:dyDescent="0.25">
      <c r="A43" s="41" t="s">
        <v>207</v>
      </c>
      <c r="B43" s="53"/>
      <c r="C43" s="41"/>
      <c r="G43">
        <f>B43</f>
        <v>0</v>
      </c>
      <c r="H43" s="37">
        <v>5.5</v>
      </c>
      <c r="I43" s="30">
        <f t="shared" ref="I43:I44" si="13">G43*H43</f>
        <v>0</v>
      </c>
      <c r="K43">
        <f>B43</f>
        <v>0</v>
      </c>
      <c r="L43" s="37">
        <v>25</v>
      </c>
      <c r="M43" s="30">
        <f t="shared" si="10"/>
        <v>0</v>
      </c>
    </row>
    <row r="44" spans="1:13" x14ac:dyDescent="0.25">
      <c r="A44" s="41" t="s">
        <v>197</v>
      </c>
      <c r="B44" s="53"/>
      <c r="C44" s="41" t="s">
        <v>208</v>
      </c>
      <c r="G44">
        <f>B43</f>
        <v>0</v>
      </c>
      <c r="H44" s="37">
        <f>B44</f>
        <v>0</v>
      </c>
      <c r="I44" s="30">
        <f t="shared" si="13"/>
        <v>0</v>
      </c>
      <c r="L44" s="37"/>
      <c r="M44" s="30">
        <f t="shared" si="10"/>
        <v>0</v>
      </c>
    </row>
    <row r="45" spans="1:13" x14ac:dyDescent="0.25">
      <c r="A45" s="52"/>
      <c r="B45" s="4"/>
      <c r="C45" s="52"/>
      <c r="I45" s="30"/>
      <c r="L45" s="37"/>
      <c r="M45" s="30">
        <f t="shared" si="10"/>
        <v>0</v>
      </c>
    </row>
    <row r="46" spans="1:13" x14ac:dyDescent="0.25">
      <c r="A46" s="41" t="s">
        <v>573</v>
      </c>
      <c r="B46" s="53"/>
      <c r="C46" s="41"/>
      <c r="G46">
        <f t="shared" ref="G46" si="14">B46</f>
        <v>0</v>
      </c>
      <c r="H46" s="37">
        <v>17</v>
      </c>
      <c r="I46" s="30">
        <f t="shared" ref="I46:I47" si="15">G46*H46</f>
        <v>0</v>
      </c>
      <c r="K46">
        <f>B46</f>
        <v>0</v>
      </c>
      <c r="L46" s="37">
        <v>35</v>
      </c>
      <c r="M46" s="30">
        <f t="shared" si="10"/>
        <v>0</v>
      </c>
    </row>
    <row r="47" spans="1:13" x14ac:dyDescent="0.25">
      <c r="A47" s="41" t="s">
        <v>195</v>
      </c>
      <c r="B47" s="53"/>
      <c r="C47" s="51"/>
      <c r="G47">
        <f>B47*4</f>
        <v>0</v>
      </c>
      <c r="H47" s="37">
        <v>2.4</v>
      </c>
      <c r="I47" s="30">
        <f t="shared" si="15"/>
        <v>0</v>
      </c>
      <c r="K47">
        <f>B47</f>
        <v>0</v>
      </c>
      <c r="L47" s="37">
        <v>25</v>
      </c>
      <c r="M47" s="30">
        <f t="shared" si="10"/>
        <v>0</v>
      </c>
    </row>
    <row r="48" spans="1:13" x14ac:dyDescent="0.25">
      <c r="A48" s="41" t="s">
        <v>200</v>
      </c>
      <c r="B48" s="54"/>
      <c r="C48" s="51" t="s">
        <v>201</v>
      </c>
      <c r="I48" s="30"/>
      <c r="L48" s="37"/>
      <c r="M48" s="30">
        <f t="shared" si="10"/>
        <v>0</v>
      </c>
    </row>
    <row r="49" spans="1:13" x14ac:dyDescent="0.25">
      <c r="A49" s="52"/>
      <c r="B49" s="4"/>
      <c r="C49" s="52"/>
      <c r="L49" s="37"/>
      <c r="M49" s="30">
        <f t="shared" si="10"/>
        <v>0</v>
      </c>
    </row>
    <row r="50" spans="1:13" x14ac:dyDescent="0.25">
      <c r="A50" s="41" t="s">
        <v>199</v>
      </c>
      <c r="B50" s="53"/>
      <c r="C50" s="41"/>
      <c r="G50">
        <f>B50</f>
        <v>0</v>
      </c>
      <c r="H50" s="37">
        <f>B51</f>
        <v>0</v>
      </c>
      <c r="I50" s="30">
        <f>G50*H50*1.1</f>
        <v>0</v>
      </c>
      <c r="L50" s="37"/>
      <c r="M50" s="30">
        <f t="shared" si="10"/>
        <v>0</v>
      </c>
    </row>
    <row r="51" spans="1:13" x14ac:dyDescent="0.25">
      <c r="A51" s="41" t="s">
        <v>202</v>
      </c>
      <c r="B51" s="54"/>
      <c r="C51" s="41"/>
      <c r="L51" s="37"/>
      <c r="M51" s="30">
        <f t="shared" si="10"/>
        <v>0</v>
      </c>
    </row>
    <row r="52" spans="1:13" x14ac:dyDescent="0.25">
      <c r="A52" s="52"/>
      <c r="C52" s="52"/>
      <c r="L52" s="37"/>
      <c r="M52" s="30">
        <f t="shared" si="10"/>
        <v>0</v>
      </c>
    </row>
    <row r="53" spans="1:13" x14ac:dyDescent="0.25">
      <c r="A53" s="41" t="s">
        <v>203</v>
      </c>
      <c r="B53" s="55">
        <v>350</v>
      </c>
      <c r="C53" s="41"/>
      <c r="I53" s="30">
        <f>B53</f>
        <v>350</v>
      </c>
      <c r="L53" s="37"/>
      <c r="M53" s="30">
        <f t="shared" si="10"/>
        <v>0</v>
      </c>
    </row>
    <row r="55" spans="1:13" x14ac:dyDescent="0.25">
      <c r="H55" s="37" t="s">
        <v>209</v>
      </c>
      <c r="I55" s="30">
        <f>SUM(I37:I53)</f>
        <v>2345</v>
      </c>
      <c r="L55" t="s">
        <v>209</v>
      </c>
      <c r="M55" s="30">
        <f>SUM(M37:M54)</f>
        <v>1400</v>
      </c>
    </row>
    <row r="56" spans="1:13" x14ac:dyDescent="0.25">
      <c r="A56" t="s">
        <v>153</v>
      </c>
      <c r="B56" s="30">
        <f>I55/((100-B57)/100)</f>
        <v>2345</v>
      </c>
    </row>
    <row r="57" spans="1:13" x14ac:dyDescent="0.25">
      <c r="A57" t="s">
        <v>169</v>
      </c>
      <c r="B57">
        <v>0</v>
      </c>
    </row>
    <row r="59" spans="1:13" x14ac:dyDescent="0.25">
      <c r="A59" t="s">
        <v>210</v>
      </c>
      <c r="B59" s="30">
        <f>M55*((100+B60)/100)</f>
        <v>2100</v>
      </c>
    </row>
    <row r="60" spans="1:13" x14ac:dyDescent="0.25">
      <c r="A60" t="s">
        <v>154</v>
      </c>
      <c r="B60">
        <v>50</v>
      </c>
    </row>
    <row r="63" spans="1:13" x14ac:dyDescent="0.25">
      <c r="A63" s="1" t="s">
        <v>108</v>
      </c>
      <c r="B63" s="1" t="s">
        <v>79</v>
      </c>
    </row>
    <row r="64" spans="1:13" x14ac:dyDescent="0.25">
      <c r="A64" s="1" t="s">
        <v>191</v>
      </c>
      <c r="B64" t="s">
        <v>192</v>
      </c>
    </row>
    <row r="65" spans="1:13" x14ac:dyDescent="0.25">
      <c r="G65" s="1" t="s">
        <v>114</v>
      </c>
      <c r="K65" s="1" t="s">
        <v>76</v>
      </c>
    </row>
    <row r="66" spans="1:13" x14ac:dyDescent="0.25">
      <c r="B66" s="1" t="s">
        <v>196</v>
      </c>
      <c r="C66" s="1" t="s">
        <v>125</v>
      </c>
      <c r="G66" t="s">
        <v>198</v>
      </c>
      <c r="H66" s="37" t="s">
        <v>126</v>
      </c>
      <c r="I66" t="s">
        <v>155</v>
      </c>
      <c r="K66" t="s">
        <v>198</v>
      </c>
      <c r="L66" t="s">
        <v>126</v>
      </c>
      <c r="M66" t="s">
        <v>155</v>
      </c>
    </row>
    <row r="67" spans="1:13" x14ac:dyDescent="0.25">
      <c r="A67" s="41" t="s">
        <v>193</v>
      </c>
      <c r="B67" s="53"/>
      <c r="C67" s="41"/>
      <c r="G67">
        <f>B67</f>
        <v>0</v>
      </c>
      <c r="H67" s="37">
        <f>B68+3.4</f>
        <v>3.4</v>
      </c>
      <c r="I67" s="30">
        <f>G67*H67</f>
        <v>0</v>
      </c>
      <c r="K67">
        <f>B67</f>
        <v>0</v>
      </c>
      <c r="L67" s="37">
        <v>12</v>
      </c>
      <c r="M67" s="30">
        <f>K67*L67</f>
        <v>0</v>
      </c>
    </row>
    <row r="68" spans="1:13" x14ac:dyDescent="0.25">
      <c r="A68" s="41" t="s">
        <v>197</v>
      </c>
      <c r="B68" s="54"/>
      <c r="C68" s="41" t="s">
        <v>204</v>
      </c>
      <c r="G68">
        <f t="shared" ref="G68" si="16">B68</f>
        <v>0</v>
      </c>
      <c r="I68" s="30">
        <f t="shared" ref="I68" si="17">G68*H68</f>
        <v>0</v>
      </c>
      <c r="L68" s="37"/>
      <c r="M68" s="30">
        <f t="shared" ref="M68:M83" si="18">K68*L68</f>
        <v>0</v>
      </c>
    </row>
    <row r="69" spans="1:13" x14ac:dyDescent="0.25">
      <c r="A69" s="52"/>
      <c r="B69" s="4"/>
      <c r="C69" s="52"/>
      <c r="I69" s="30"/>
      <c r="L69" s="37"/>
      <c r="M69" s="30">
        <f t="shared" si="18"/>
        <v>0</v>
      </c>
    </row>
    <row r="70" spans="1:13" x14ac:dyDescent="0.25">
      <c r="A70" s="41" t="s">
        <v>206</v>
      </c>
      <c r="B70" s="53"/>
      <c r="C70" s="41"/>
      <c r="G70">
        <f t="shared" ref="G70" si="19">B70</f>
        <v>0</v>
      </c>
      <c r="H70" s="37">
        <v>5.5</v>
      </c>
      <c r="I70" s="30">
        <f t="shared" ref="I70:I71" si="20">G70*H70</f>
        <v>0</v>
      </c>
      <c r="K70">
        <f>B70</f>
        <v>0</v>
      </c>
      <c r="L70" s="37">
        <v>20</v>
      </c>
      <c r="M70" s="30">
        <f t="shared" si="18"/>
        <v>0</v>
      </c>
    </row>
    <row r="71" spans="1:13" x14ac:dyDescent="0.25">
      <c r="A71" s="41" t="s">
        <v>197</v>
      </c>
      <c r="B71" s="54"/>
      <c r="C71" s="41" t="s">
        <v>205</v>
      </c>
      <c r="G71">
        <f>B70</f>
        <v>0</v>
      </c>
      <c r="H71" s="37">
        <f>B71</f>
        <v>0</v>
      </c>
      <c r="I71" s="30">
        <f t="shared" si="20"/>
        <v>0</v>
      </c>
      <c r="L71" s="37"/>
      <c r="M71" s="30">
        <f t="shared" si="18"/>
        <v>0</v>
      </c>
    </row>
    <row r="72" spans="1:13" x14ac:dyDescent="0.25">
      <c r="A72" s="52"/>
      <c r="B72" s="4"/>
      <c r="C72" s="52"/>
      <c r="I72" s="30"/>
      <c r="L72" s="37"/>
      <c r="M72" s="30">
        <f t="shared" si="18"/>
        <v>0</v>
      </c>
    </row>
    <row r="73" spans="1:13" x14ac:dyDescent="0.25">
      <c r="A73" s="41" t="s">
        <v>207</v>
      </c>
      <c r="B73" s="53"/>
      <c r="C73" s="41"/>
      <c r="G73">
        <f>B73</f>
        <v>0</v>
      </c>
      <c r="H73" s="37">
        <v>5.5</v>
      </c>
      <c r="I73" s="30">
        <f t="shared" ref="I73:I74" si="21">G73*H73</f>
        <v>0</v>
      </c>
      <c r="K73">
        <f>B73</f>
        <v>0</v>
      </c>
      <c r="L73" s="37">
        <v>25</v>
      </c>
      <c r="M73" s="30">
        <f t="shared" si="18"/>
        <v>0</v>
      </c>
    </row>
    <row r="74" spans="1:13" x14ac:dyDescent="0.25">
      <c r="A74" s="41" t="s">
        <v>197</v>
      </c>
      <c r="B74" s="53"/>
      <c r="C74" s="41" t="s">
        <v>208</v>
      </c>
      <c r="G74">
        <f>B73</f>
        <v>0</v>
      </c>
      <c r="H74" s="37">
        <f>B74</f>
        <v>0</v>
      </c>
      <c r="I74" s="30">
        <f t="shared" si="21"/>
        <v>0</v>
      </c>
      <c r="L74" s="37"/>
      <c r="M74" s="30">
        <f t="shared" si="18"/>
        <v>0</v>
      </c>
    </row>
    <row r="75" spans="1:13" x14ac:dyDescent="0.25">
      <c r="A75" s="52"/>
      <c r="B75" s="4"/>
      <c r="C75" s="52"/>
      <c r="I75" s="30"/>
      <c r="L75" s="37"/>
      <c r="M75" s="30">
        <f t="shared" si="18"/>
        <v>0</v>
      </c>
    </row>
    <row r="76" spans="1:13" x14ac:dyDescent="0.25">
      <c r="A76" s="41" t="s">
        <v>573</v>
      </c>
      <c r="B76" s="53"/>
      <c r="C76" s="41"/>
      <c r="G76">
        <f t="shared" ref="G76" si="22">B76</f>
        <v>0</v>
      </c>
      <c r="H76" s="37">
        <v>17</v>
      </c>
      <c r="I76" s="30">
        <f t="shared" ref="I76:I77" si="23">G76*H76</f>
        <v>0</v>
      </c>
      <c r="K76">
        <f>B76</f>
        <v>0</v>
      </c>
      <c r="L76" s="37">
        <v>35</v>
      </c>
      <c r="M76" s="30">
        <f t="shared" si="18"/>
        <v>0</v>
      </c>
    </row>
    <row r="77" spans="1:13" x14ac:dyDescent="0.25">
      <c r="A77" s="41" t="s">
        <v>195</v>
      </c>
      <c r="B77" s="53"/>
      <c r="C77" s="51"/>
      <c r="G77">
        <f>B77*4</f>
        <v>0</v>
      </c>
      <c r="H77" s="37">
        <v>2.4</v>
      </c>
      <c r="I77" s="30">
        <f t="shared" si="23"/>
        <v>0</v>
      </c>
      <c r="K77">
        <f>B77</f>
        <v>0</v>
      </c>
      <c r="L77" s="37">
        <v>25</v>
      </c>
      <c r="M77" s="30">
        <f t="shared" si="18"/>
        <v>0</v>
      </c>
    </row>
    <row r="78" spans="1:13" x14ac:dyDescent="0.25">
      <c r="A78" s="41" t="s">
        <v>200</v>
      </c>
      <c r="B78" s="54"/>
      <c r="C78" s="51" t="s">
        <v>201</v>
      </c>
      <c r="I78" s="30"/>
      <c r="L78" s="37"/>
      <c r="M78" s="30">
        <f t="shared" si="18"/>
        <v>0</v>
      </c>
    </row>
    <row r="79" spans="1:13" x14ac:dyDescent="0.25">
      <c r="A79" s="52"/>
      <c r="B79" s="4"/>
      <c r="C79" s="52"/>
      <c r="L79" s="37"/>
      <c r="M79" s="30">
        <f t="shared" si="18"/>
        <v>0</v>
      </c>
    </row>
    <row r="80" spans="1:13" x14ac:dyDescent="0.25">
      <c r="A80" s="41" t="s">
        <v>199</v>
      </c>
      <c r="B80" s="53"/>
      <c r="C80" s="41"/>
      <c r="G80">
        <f>B80</f>
        <v>0</v>
      </c>
      <c r="H80" s="37">
        <f>B81</f>
        <v>0</v>
      </c>
      <c r="I80" s="30">
        <f>G80*H80*1.1</f>
        <v>0</v>
      </c>
      <c r="L80" s="37"/>
      <c r="M80" s="30">
        <f t="shared" si="18"/>
        <v>0</v>
      </c>
    </row>
    <row r="81" spans="1:13" x14ac:dyDescent="0.25">
      <c r="A81" s="41" t="s">
        <v>202</v>
      </c>
      <c r="B81" s="54"/>
      <c r="C81" s="41"/>
      <c r="L81" s="37"/>
      <c r="M81" s="30">
        <f t="shared" si="18"/>
        <v>0</v>
      </c>
    </row>
    <row r="82" spans="1:13" x14ac:dyDescent="0.25">
      <c r="A82" s="52"/>
      <c r="C82" s="52"/>
      <c r="L82" s="37"/>
      <c r="M82" s="30">
        <f t="shared" si="18"/>
        <v>0</v>
      </c>
    </row>
    <row r="83" spans="1:13" x14ac:dyDescent="0.25">
      <c r="A83" s="41" t="s">
        <v>203</v>
      </c>
      <c r="B83" s="55"/>
      <c r="C83" s="41"/>
      <c r="I83" s="30">
        <f>B83</f>
        <v>0</v>
      </c>
      <c r="L83" s="37"/>
      <c r="M83" s="30">
        <f t="shared" si="18"/>
        <v>0</v>
      </c>
    </row>
    <row r="85" spans="1:13" x14ac:dyDescent="0.25">
      <c r="H85" s="37" t="s">
        <v>209</v>
      </c>
      <c r="I85" s="30">
        <f>SUM(I67:I83)</f>
        <v>0</v>
      </c>
      <c r="L85" t="s">
        <v>209</v>
      </c>
      <c r="M85" s="30">
        <f>SUM(M67:M84)</f>
        <v>0</v>
      </c>
    </row>
    <row r="86" spans="1:13" x14ac:dyDescent="0.25">
      <c r="A86" t="s">
        <v>153</v>
      </c>
      <c r="B86" s="30">
        <f>I85/((100-B87)/100)</f>
        <v>0</v>
      </c>
    </row>
    <row r="87" spans="1:13" x14ac:dyDescent="0.25">
      <c r="A87" t="s">
        <v>169</v>
      </c>
      <c r="B87">
        <v>0</v>
      </c>
    </row>
    <row r="89" spans="1:13" x14ac:dyDescent="0.25">
      <c r="A89" t="s">
        <v>210</v>
      </c>
      <c r="B89" s="30">
        <f>M85*((100+B90)/100)</f>
        <v>0</v>
      </c>
    </row>
    <row r="90" spans="1:13" x14ac:dyDescent="0.25">
      <c r="A90" t="s">
        <v>154</v>
      </c>
      <c r="B90">
        <v>0</v>
      </c>
    </row>
    <row r="93" spans="1:13" x14ac:dyDescent="0.25">
      <c r="A93" s="1" t="s">
        <v>109</v>
      </c>
      <c r="B93" s="1" t="s">
        <v>79</v>
      </c>
    </row>
    <row r="94" spans="1:13" x14ac:dyDescent="0.25">
      <c r="A94" s="1" t="s">
        <v>191</v>
      </c>
      <c r="B94" t="s">
        <v>192</v>
      </c>
    </row>
    <row r="95" spans="1:13" x14ac:dyDescent="0.25">
      <c r="G95" s="1" t="s">
        <v>114</v>
      </c>
      <c r="K95" s="1" t="s">
        <v>76</v>
      </c>
    </row>
    <row r="96" spans="1:13" x14ac:dyDescent="0.25">
      <c r="B96" s="1" t="s">
        <v>196</v>
      </c>
      <c r="C96" s="1" t="s">
        <v>125</v>
      </c>
      <c r="G96" t="s">
        <v>198</v>
      </c>
      <c r="H96" s="37" t="s">
        <v>126</v>
      </c>
      <c r="I96" t="s">
        <v>155</v>
      </c>
      <c r="K96" t="s">
        <v>198</v>
      </c>
      <c r="L96" t="s">
        <v>126</v>
      </c>
      <c r="M96" t="s">
        <v>155</v>
      </c>
    </row>
    <row r="97" spans="1:13" x14ac:dyDescent="0.25">
      <c r="A97" s="41" t="s">
        <v>193</v>
      </c>
      <c r="B97" s="53"/>
      <c r="C97" s="41"/>
      <c r="G97">
        <f>B97</f>
        <v>0</v>
      </c>
      <c r="H97" s="37">
        <f>B98+3.4</f>
        <v>3.4</v>
      </c>
      <c r="I97" s="30">
        <f>G97*H97</f>
        <v>0</v>
      </c>
      <c r="K97">
        <f>B97</f>
        <v>0</v>
      </c>
      <c r="L97" s="37">
        <v>12</v>
      </c>
      <c r="M97" s="30">
        <f>K97*L97</f>
        <v>0</v>
      </c>
    </row>
    <row r="98" spans="1:13" x14ac:dyDescent="0.25">
      <c r="A98" s="41" t="s">
        <v>197</v>
      </c>
      <c r="B98" s="54"/>
      <c r="C98" s="41" t="s">
        <v>204</v>
      </c>
      <c r="G98">
        <f t="shared" ref="G98" si="24">B98</f>
        <v>0</v>
      </c>
      <c r="I98" s="30">
        <f t="shared" ref="I98" si="25">G98*H98</f>
        <v>0</v>
      </c>
      <c r="L98" s="37"/>
      <c r="M98" s="30">
        <f t="shared" ref="M98:M113" si="26">K98*L98</f>
        <v>0</v>
      </c>
    </row>
    <row r="99" spans="1:13" x14ac:dyDescent="0.25">
      <c r="A99" s="52"/>
      <c r="B99" s="4"/>
      <c r="C99" s="52"/>
      <c r="I99" s="30"/>
      <c r="L99" s="37"/>
      <c r="M99" s="30">
        <f t="shared" si="26"/>
        <v>0</v>
      </c>
    </row>
    <row r="100" spans="1:13" x14ac:dyDescent="0.25">
      <c r="A100" s="41" t="s">
        <v>206</v>
      </c>
      <c r="B100" s="53"/>
      <c r="C100" s="41"/>
      <c r="G100">
        <f t="shared" ref="G100" si="27">B100</f>
        <v>0</v>
      </c>
      <c r="H100" s="37">
        <v>5.5</v>
      </c>
      <c r="I100" s="30">
        <f t="shared" ref="I100:I101" si="28">G100*H100</f>
        <v>0</v>
      </c>
      <c r="K100">
        <f>B100</f>
        <v>0</v>
      </c>
      <c r="L100" s="37">
        <v>20</v>
      </c>
      <c r="M100" s="30">
        <f t="shared" si="26"/>
        <v>0</v>
      </c>
    </row>
    <row r="101" spans="1:13" x14ac:dyDescent="0.25">
      <c r="A101" s="41" t="s">
        <v>197</v>
      </c>
      <c r="B101" s="54"/>
      <c r="C101" s="41" t="s">
        <v>205</v>
      </c>
      <c r="G101">
        <f>B100</f>
        <v>0</v>
      </c>
      <c r="H101" s="37">
        <f>B101</f>
        <v>0</v>
      </c>
      <c r="I101" s="30">
        <f t="shared" si="28"/>
        <v>0</v>
      </c>
      <c r="L101" s="37"/>
      <c r="M101" s="30">
        <f t="shared" si="26"/>
        <v>0</v>
      </c>
    </row>
    <row r="102" spans="1:13" x14ac:dyDescent="0.25">
      <c r="A102" s="52"/>
      <c r="B102" s="4"/>
      <c r="C102" s="52"/>
      <c r="I102" s="30"/>
      <c r="L102" s="37"/>
      <c r="M102" s="30">
        <f t="shared" si="26"/>
        <v>0</v>
      </c>
    </row>
    <row r="103" spans="1:13" x14ac:dyDescent="0.25">
      <c r="A103" s="41" t="s">
        <v>207</v>
      </c>
      <c r="B103" s="53"/>
      <c r="C103" s="41"/>
      <c r="G103">
        <f>B103</f>
        <v>0</v>
      </c>
      <c r="H103" s="37">
        <v>5.5</v>
      </c>
      <c r="I103" s="30">
        <f t="shared" ref="I103:I104" si="29">G103*H103</f>
        <v>0</v>
      </c>
      <c r="K103">
        <f>B103</f>
        <v>0</v>
      </c>
      <c r="L103" s="37">
        <v>25</v>
      </c>
      <c r="M103" s="30">
        <f t="shared" si="26"/>
        <v>0</v>
      </c>
    </row>
    <row r="104" spans="1:13" x14ac:dyDescent="0.25">
      <c r="A104" s="41" t="s">
        <v>197</v>
      </c>
      <c r="B104" s="53"/>
      <c r="C104" s="41" t="s">
        <v>208</v>
      </c>
      <c r="G104">
        <f>B103</f>
        <v>0</v>
      </c>
      <c r="H104" s="37">
        <f>B104</f>
        <v>0</v>
      </c>
      <c r="I104" s="30">
        <f t="shared" si="29"/>
        <v>0</v>
      </c>
      <c r="L104" s="37"/>
      <c r="M104" s="30">
        <f t="shared" si="26"/>
        <v>0</v>
      </c>
    </row>
    <row r="105" spans="1:13" x14ac:dyDescent="0.25">
      <c r="A105" s="52"/>
      <c r="B105" s="4"/>
      <c r="C105" s="52"/>
      <c r="I105" s="30"/>
      <c r="L105" s="37"/>
      <c r="M105" s="30">
        <f t="shared" si="26"/>
        <v>0</v>
      </c>
    </row>
    <row r="106" spans="1:13" x14ac:dyDescent="0.25">
      <c r="A106" s="41" t="s">
        <v>573</v>
      </c>
      <c r="B106" s="53"/>
      <c r="C106" s="41"/>
      <c r="G106">
        <f t="shared" ref="G106" si="30">B106</f>
        <v>0</v>
      </c>
      <c r="H106" s="37">
        <v>17</v>
      </c>
      <c r="I106" s="30">
        <f t="shared" ref="I106:I107" si="31">G106*H106</f>
        <v>0</v>
      </c>
      <c r="K106">
        <f>B106</f>
        <v>0</v>
      </c>
      <c r="L106" s="37">
        <v>35</v>
      </c>
      <c r="M106" s="30">
        <f t="shared" si="26"/>
        <v>0</v>
      </c>
    </row>
    <row r="107" spans="1:13" x14ac:dyDescent="0.25">
      <c r="A107" s="41" t="s">
        <v>195</v>
      </c>
      <c r="B107" s="53"/>
      <c r="C107" s="51"/>
      <c r="G107">
        <f>B107*4</f>
        <v>0</v>
      </c>
      <c r="H107" s="37">
        <v>2.4</v>
      </c>
      <c r="I107" s="30">
        <f t="shared" si="31"/>
        <v>0</v>
      </c>
      <c r="K107">
        <f>B107</f>
        <v>0</v>
      </c>
      <c r="L107" s="37">
        <v>25</v>
      </c>
      <c r="M107" s="30">
        <f t="shared" si="26"/>
        <v>0</v>
      </c>
    </row>
    <row r="108" spans="1:13" x14ac:dyDescent="0.25">
      <c r="A108" s="41" t="s">
        <v>200</v>
      </c>
      <c r="B108" s="54"/>
      <c r="C108" s="51" t="s">
        <v>201</v>
      </c>
      <c r="I108" s="30"/>
      <c r="L108" s="37"/>
      <c r="M108" s="30">
        <f t="shared" si="26"/>
        <v>0</v>
      </c>
    </row>
    <row r="109" spans="1:13" x14ac:dyDescent="0.25">
      <c r="A109" s="52"/>
      <c r="B109" s="4"/>
      <c r="C109" s="52"/>
      <c r="L109" s="37"/>
      <c r="M109" s="30">
        <f t="shared" si="26"/>
        <v>0</v>
      </c>
    </row>
    <row r="110" spans="1:13" x14ac:dyDescent="0.25">
      <c r="A110" s="41" t="s">
        <v>199</v>
      </c>
      <c r="B110" s="53"/>
      <c r="C110" s="41"/>
      <c r="G110">
        <f>B110</f>
        <v>0</v>
      </c>
      <c r="H110" s="37">
        <f>B111</f>
        <v>0</v>
      </c>
      <c r="I110" s="30">
        <f>G110*H110*1.1</f>
        <v>0</v>
      </c>
      <c r="L110" s="37"/>
      <c r="M110" s="30">
        <f t="shared" si="26"/>
        <v>0</v>
      </c>
    </row>
    <row r="111" spans="1:13" x14ac:dyDescent="0.25">
      <c r="A111" s="41" t="s">
        <v>202</v>
      </c>
      <c r="B111" s="54"/>
      <c r="C111" s="41"/>
      <c r="L111" s="37"/>
      <c r="M111" s="30">
        <f t="shared" si="26"/>
        <v>0</v>
      </c>
    </row>
    <row r="112" spans="1:13" x14ac:dyDescent="0.25">
      <c r="A112" s="52"/>
      <c r="C112" s="52"/>
      <c r="L112" s="37"/>
      <c r="M112" s="30">
        <f t="shared" si="26"/>
        <v>0</v>
      </c>
    </row>
    <row r="113" spans="1:13" x14ac:dyDescent="0.25">
      <c r="A113" s="41" t="s">
        <v>203</v>
      </c>
      <c r="B113" s="55"/>
      <c r="C113" s="41"/>
      <c r="I113" s="30">
        <f>B113</f>
        <v>0</v>
      </c>
      <c r="L113" s="37"/>
      <c r="M113" s="30">
        <f t="shared" si="26"/>
        <v>0</v>
      </c>
    </row>
    <row r="115" spans="1:13" x14ac:dyDescent="0.25">
      <c r="H115" s="37" t="s">
        <v>209</v>
      </c>
      <c r="I115" s="30">
        <f>SUM(I97:I113)</f>
        <v>0</v>
      </c>
      <c r="L115" t="s">
        <v>209</v>
      </c>
      <c r="M115" s="30">
        <f>SUM(M97:M114)</f>
        <v>0</v>
      </c>
    </row>
    <row r="116" spans="1:13" x14ac:dyDescent="0.25">
      <c r="A116" t="s">
        <v>153</v>
      </c>
      <c r="B116" s="30">
        <f>I115/((100-B117)/100)</f>
        <v>0</v>
      </c>
    </row>
    <row r="117" spans="1:13" x14ac:dyDescent="0.25">
      <c r="A117" t="s">
        <v>169</v>
      </c>
      <c r="B117">
        <v>0</v>
      </c>
    </row>
    <row r="119" spans="1:13" x14ac:dyDescent="0.25">
      <c r="A119" t="s">
        <v>210</v>
      </c>
      <c r="B119" s="30">
        <f>M115*((100+B120)/100)</f>
        <v>0</v>
      </c>
    </row>
    <row r="120" spans="1:13" x14ac:dyDescent="0.25">
      <c r="A120" t="s">
        <v>154</v>
      </c>
      <c r="B120">
        <v>0</v>
      </c>
    </row>
    <row r="123" spans="1:13" x14ac:dyDescent="0.25">
      <c r="A123" s="1" t="s">
        <v>110</v>
      </c>
      <c r="B123" s="1" t="s">
        <v>79</v>
      </c>
    </row>
    <row r="124" spans="1:13" x14ac:dyDescent="0.25">
      <c r="A124" s="1" t="s">
        <v>191</v>
      </c>
      <c r="B124" t="s">
        <v>192</v>
      </c>
    </row>
    <row r="125" spans="1:13" x14ac:dyDescent="0.25">
      <c r="G125" s="1" t="s">
        <v>114</v>
      </c>
      <c r="K125" s="1" t="s">
        <v>76</v>
      </c>
    </row>
    <row r="126" spans="1:13" x14ac:dyDescent="0.25">
      <c r="B126" s="1" t="s">
        <v>196</v>
      </c>
      <c r="C126" s="1" t="s">
        <v>125</v>
      </c>
      <c r="G126" t="s">
        <v>198</v>
      </c>
      <c r="H126" s="37" t="s">
        <v>126</v>
      </c>
      <c r="I126" t="s">
        <v>155</v>
      </c>
      <c r="K126" t="s">
        <v>198</v>
      </c>
      <c r="L126" t="s">
        <v>126</v>
      </c>
      <c r="M126" t="s">
        <v>155</v>
      </c>
    </row>
    <row r="127" spans="1:13" x14ac:dyDescent="0.25">
      <c r="A127" s="41" t="s">
        <v>193</v>
      </c>
      <c r="B127" s="53"/>
      <c r="C127" s="41"/>
      <c r="G127">
        <f>B127</f>
        <v>0</v>
      </c>
      <c r="H127" s="37">
        <f>B128+3.4</f>
        <v>3.4</v>
      </c>
      <c r="I127" s="30">
        <f>G127*H127</f>
        <v>0</v>
      </c>
      <c r="K127">
        <f>B127</f>
        <v>0</v>
      </c>
      <c r="L127" s="37">
        <v>12</v>
      </c>
      <c r="M127" s="30">
        <f>K127*L127</f>
        <v>0</v>
      </c>
    </row>
    <row r="128" spans="1:13" x14ac:dyDescent="0.25">
      <c r="A128" s="41" t="s">
        <v>197</v>
      </c>
      <c r="B128" s="54"/>
      <c r="C128" s="41" t="s">
        <v>204</v>
      </c>
      <c r="G128">
        <f t="shared" ref="G128" si="32">B128</f>
        <v>0</v>
      </c>
      <c r="I128" s="30">
        <f t="shared" ref="I128" si="33">G128*H128</f>
        <v>0</v>
      </c>
      <c r="L128" s="37"/>
      <c r="M128" s="30">
        <f t="shared" ref="M128:M143" si="34">K128*L128</f>
        <v>0</v>
      </c>
    </row>
    <row r="129" spans="1:13" x14ac:dyDescent="0.25">
      <c r="A129" s="52"/>
      <c r="B129" s="4"/>
      <c r="C129" s="52"/>
      <c r="I129" s="30"/>
      <c r="L129" s="37"/>
      <c r="M129" s="30">
        <f t="shared" si="34"/>
        <v>0</v>
      </c>
    </row>
    <row r="130" spans="1:13" x14ac:dyDescent="0.25">
      <c r="A130" s="41" t="s">
        <v>206</v>
      </c>
      <c r="B130" s="53"/>
      <c r="C130" s="41"/>
      <c r="G130">
        <f t="shared" ref="G130" si="35">B130</f>
        <v>0</v>
      </c>
      <c r="H130" s="37">
        <v>5.5</v>
      </c>
      <c r="I130" s="30">
        <f t="shared" ref="I130:I131" si="36">G130*H130</f>
        <v>0</v>
      </c>
      <c r="K130">
        <f>B130</f>
        <v>0</v>
      </c>
      <c r="L130" s="37">
        <v>20</v>
      </c>
      <c r="M130" s="30">
        <f t="shared" si="34"/>
        <v>0</v>
      </c>
    </row>
    <row r="131" spans="1:13" x14ac:dyDescent="0.25">
      <c r="A131" s="41" t="s">
        <v>197</v>
      </c>
      <c r="B131" s="54"/>
      <c r="C131" s="41" t="s">
        <v>205</v>
      </c>
      <c r="G131">
        <f>B130</f>
        <v>0</v>
      </c>
      <c r="H131" s="37">
        <f>B131</f>
        <v>0</v>
      </c>
      <c r="I131" s="30">
        <f t="shared" si="36"/>
        <v>0</v>
      </c>
      <c r="L131" s="37"/>
      <c r="M131" s="30">
        <f t="shared" si="34"/>
        <v>0</v>
      </c>
    </row>
    <row r="132" spans="1:13" x14ac:dyDescent="0.25">
      <c r="A132" s="52"/>
      <c r="B132" s="4"/>
      <c r="C132" s="52"/>
      <c r="I132" s="30"/>
      <c r="L132" s="37"/>
      <c r="M132" s="30">
        <f t="shared" si="34"/>
        <v>0</v>
      </c>
    </row>
    <row r="133" spans="1:13" x14ac:dyDescent="0.25">
      <c r="A133" s="41" t="s">
        <v>207</v>
      </c>
      <c r="B133" s="53"/>
      <c r="C133" s="41"/>
      <c r="G133">
        <f>B133</f>
        <v>0</v>
      </c>
      <c r="H133" s="37">
        <v>5.5</v>
      </c>
      <c r="I133" s="30">
        <f t="shared" ref="I133:I134" si="37">G133*H133</f>
        <v>0</v>
      </c>
      <c r="K133">
        <f>B133</f>
        <v>0</v>
      </c>
      <c r="L133" s="37">
        <v>25</v>
      </c>
      <c r="M133" s="30">
        <f t="shared" si="34"/>
        <v>0</v>
      </c>
    </row>
    <row r="134" spans="1:13" x14ac:dyDescent="0.25">
      <c r="A134" s="41" t="s">
        <v>197</v>
      </c>
      <c r="B134" s="53"/>
      <c r="C134" s="41" t="s">
        <v>208</v>
      </c>
      <c r="G134">
        <f>B133</f>
        <v>0</v>
      </c>
      <c r="H134" s="37">
        <f>B134</f>
        <v>0</v>
      </c>
      <c r="I134" s="30">
        <f t="shared" si="37"/>
        <v>0</v>
      </c>
      <c r="L134" s="37"/>
      <c r="M134" s="30">
        <f t="shared" si="34"/>
        <v>0</v>
      </c>
    </row>
    <row r="135" spans="1:13" x14ac:dyDescent="0.25">
      <c r="A135" s="52"/>
      <c r="B135" s="4"/>
      <c r="C135" s="52"/>
      <c r="I135" s="30"/>
      <c r="L135" s="37"/>
      <c r="M135" s="30">
        <f t="shared" si="34"/>
        <v>0</v>
      </c>
    </row>
    <row r="136" spans="1:13" x14ac:dyDescent="0.25">
      <c r="A136" s="41" t="s">
        <v>573</v>
      </c>
      <c r="B136" s="53"/>
      <c r="C136" s="41"/>
      <c r="G136">
        <f t="shared" ref="G136" si="38">B136</f>
        <v>0</v>
      </c>
      <c r="H136" s="37">
        <v>17</v>
      </c>
      <c r="I136" s="30">
        <f t="shared" ref="I136:I137" si="39">G136*H136</f>
        <v>0</v>
      </c>
      <c r="K136">
        <f>B136</f>
        <v>0</v>
      </c>
      <c r="L136" s="37">
        <v>35</v>
      </c>
      <c r="M136" s="30">
        <f t="shared" si="34"/>
        <v>0</v>
      </c>
    </row>
    <row r="137" spans="1:13" x14ac:dyDescent="0.25">
      <c r="A137" s="41" t="s">
        <v>195</v>
      </c>
      <c r="B137" s="53"/>
      <c r="C137" s="51"/>
      <c r="G137">
        <f>B137*4</f>
        <v>0</v>
      </c>
      <c r="H137" s="37">
        <v>2.4</v>
      </c>
      <c r="I137" s="30">
        <f t="shared" si="39"/>
        <v>0</v>
      </c>
      <c r="K137">
        <f>B137</f>
        <v>0</v>
      </c>
      <c r="L137" s="37">
        <v>25</v>
      </c>
      <c r="M137" s="30">
        <f t="shared" si="34"/>
        <v>0</v>
      </c>
    </row>
    <row r="138" spans="1:13" x14ac:dyDescent="0.25">
      <c r="A138" s="41" t="s">
        <v>200</v>
      </c>
      <c r="B138" s="54"/>
      <c r="C138" s="51" t="s">
        <v>201</v>
      </c>
      <c r="I138" s="30"/>
      <c r="L138" s="37"/>
      <c r="M138" s="30">
        <f t="shared" si="34"/>
        <v>0</v>
      </c>
    </row>
    <row r="139" spans="1:13" x14ac:dyDescent="0.25">
      <c r="A139" s="52"/>
      <c r="B139" s="4"/>
      <c r="C139" s="52"/>
      <c r="L139" s="37"/>
      <c r="M139" s="30">
        <f t="shared" si="34"/>
        <v>0</v>
      </c>
    </row>
    <row r="140" spans="1:13" x14ac:dyDescent="0.25">
      <c r="A140" s="41" t="s">
        <v>199</v>
      </c>
      <c r="B140" s="53"/>
      <c r="C140" s="41"/>
      <c r="G140">
        <f>B140</f>
        <v>0</v>
      </c>
      <c r="H140" s="37">
        <f>B141</f>
        <v>0</v>
      </c>
      <c r="I140" s="30">
        <f>G140*H140*1.1</f>
        <v>0</v>
      </c>
      <c r="L140" s="37"/>
      <c r="M140" s="30">
        <f t="shared" si="34"/>
        <v>0</v>
      </c>
    </row>
    <row r="141" spans="1:13" x14ac:dyDescent="0.25">
      <c r="A141" s="41" t="s">
        <v>202</v>
      </c>
      <c r="B141" s="54"/>
      <c r="C141" s="41"/>
      <c r="L141" s="37"/>
      <c r="M141" s="30">
        <f t="shared" si="34"/>
        <v>0</v>
      </c>
    </row>
    <row r="142" spans="1:13" x14ac:dyDescent="0.25">
      <c r="A142" s="52"/>
      <c r="C142" s="52"/>
      <c r="L142" s="37"/>
      <c r="M142" s="30">
        <f t="shared" si="34"/>
        <v>0</v>
      </c>
    </row>
    <row r="143" spans="1:13" x14ac:dyDescent="0.25">
      <c r="A143" s="41" t="s">
        <v>203</v>
      </c>
      <c r="B143" s="55"/>
      <c r="C143" s="41"/>
      <c r="I143" s="30">
        <f>B143</f>
        <v>0</v>
      </c>
      <c r="L143" s="37"/>
      <c r="M143" s="30">
        <f t="shared" si="34"/>
        <v>0</v>
      </c>
    </row>
    <row r="145" spans="1:13" x14ac:dyDescent="0.25">
      <c r="H145" s="37" t="s">
        <v>209</v>
      </c>
      <c r="I145" s="30">
        <f>SUM(I127:I143)</f>
        <v>0</v>
      </c>
      <c r="L145" t="s">
        <v>209</v>
      </c>
      <c r="M145" s="30">
        <f>SUM(M127:M144)</f>
        <v>0</v>
      </c>
    </row>
    <row r="146" spans="1:13" x14ac:dyDescent="0.25">
      <c r="A146" t="s">
        <v>153</v>
      </c>
      <c r="B146" s="30">
        <f>I145/((100-B147)/100)</f>
        <v>0</v>
      </c>
    </row>
    <row r="147" spans="1:13" x14ac:dyDescent="0.25">
      <c r="A147" t="s">
        <v>169</v>
      </c>
      <c r="B147">
        <v>0</v>
      </c>
    </row>
    <row r="149" spans="1:13" x14ac:dyDescent="0.25">
      <c r="A149" t="s">
        <v>210</v>
      </c>
      <c r="B149" s="30">
        <f>M145*((100+B150)/100)</f>
        <v>0</v>
      </c>
    </row>
    <row r="150" spans="1:13" x14ac:dyDescent="0.25">
      <c r="A150" t="s">
        <v>154</v>
      </c>
      <c r="B150">
        <v>0</v>
      </c>
    </row>
    <row r="153" spans="1:13" x14ac:dyDescent="0.25">
      <c r="A153" s="1" t="s">
        <v>111</v>
      </c>
      <c r="B153" s="1" t="s">
        <v>79</v>
      </c>
    </row>
    <row r="154" spans="1:13" x14ac:dyDescent="0.25">
      <c r="A154" s="1" t="s">
        <v>191</v>
      </c>
      <c r="B154" t="s">
        <v>192</v>
      </c>
    </row>
    <row r="155" spans="1:13" x14ac:dyDescent="0.25">
      <c r="G155" s="1" t="s">
        <v>114</v>
      </c>
      <c r="K155" s="1" t="s">
        <v>76</v>
      </c>
    </row>
    <row r="156" spans="1:13" x14ac:dyDescent="0.25">
      <c r="B156" s="1" t="s">
        <v>196</v>
      </c>
      <c r="C156" s="1" t="s">
        <v>125</v>
      </c>
      <c r="G156" t="s">
        <v>198</v>
      </c>
      <c r="H156" s="37" t="s">
        <v>126</v>
      </c>
      <c r="I156" t="s">
        <v>155</v>
      </c>
      <c r="K156" t="s">
        <v>198</v>
      </c>
      <c r="L156" t="s">
        <v>126</v>
      </c>
      <c r="M156" t="s">
        <v>155</v>
      </c>
    </row>
    <row r="157" spans="1:13" x14ac:dyDescent="0.25">
      <c r="A157" s="41" t="s">
        <v>193</v>
      </c>
      <c r="B157" s="53"/>
      <c r="C157" s="41"/>
      <c r="G157">
        <f>B157</f>
        <v>0</v>
      </c>
      <c r="H157" s="37">
        <f>B158+3.4</f>
        <v>3.4</v>
      </c>
      <c r="I157" s="30">
        <f>G157*H157</f>
        <v>0</v>
      </c>
      <c r="K157">
        <f>B157</f>
        <v>0</v>
      </c>
      <c r="L157" s="37">
        <v>12</v>
      </c>
      <c r="M157" s="30">
        <f>K157*L157</f>
        <v>0</v>
      </c>
    </row>
    <row r="158" spans="1:13" x14ac:dyDescent="0.25">
      <c r="A158" s="41" t="s">
        <v>197</v>
      </c>
      <c r="B158" s="54"/>
      <c r="C158" s="41" t="s">
        <v>204</v>
      </c>
      <c r="G158">
        <f t="shared" ref="G158" si="40">B158</f>
        <v>0</v>
      </c>
      <c r="I158" s="30">
        <f t="shared" ref="I158" si="41">G158*H158</f>
        <v>0</v>
      </c>
      <c r="L158" s="37"/>
      <c r="M158" s="30">
        <f t="shared" ref="M158:M173" si="42">K158*L158</f>
        <v>0</v>
      </c>
    </row>
    <row r="159" spans="1:13" x14ac:dyDescent="0.25">
      <c r="A159" s="52"/>
      <c r="B159" s="4"/>
      <c r="C159" s="52"/>
      <c r="I159" s="30"/>
      <c r="L159" s="37"/>
      <c r="M159" s="30">
        <f t="shared" si="42"/>
        <v>0</v>
      </c>
    </row>
    <row r="160" spans="1:13" x14ac:dyDescent="0.25">
      <c r="A160" s="41" t="s">
        <v>206</v>
      </c>
      <c r="B160" s="53"/>
      <c r="C160" s="41"/>
      <c r="G160">
        <f t="shared" ref="G160" si="43">B160</f>
        <v>0</v>
      </c>
      <c r="H160" s="37">
        <v>5.5</v>
      </c>
      <c r="I160" s="30">
        <f t="shared" ref="I160:I161" si="44">G160*H160</f>
        <v>0</v>
      </c>
      <c r="K160">
        <f>B160</f>
        <v>0</v>
      </c>
      <c r="L160" s="37">
        <v>20</v>
      </c>
      <c r="M160" s="30">
        <f t="shared" si="42"/>
        <v>0</v>
      </c>
    </row>
    <row r="161" spans="1:13" x14ac:dyDescent="0.25">
      <c r="A161" s="41" t="s">
        <v>197</v>
      </c>
      <c r="B161" s="54"/>
      <c r="C161" s="41" t="s">
        <v>205</v>
      </c>
      <c r="G161">
        <f>B160</f>
        <v>0</v>
      </c>
      <c r="H161" s="37">
        <f>B161</f>
        <v>0</v>
      </c>
      <c r="I161" s="30">
        <f t="shared" si="44"/>
        <v>0</v>
      </c>
      <c r="L161" s="37"/>
      <c r="M161" s="30">
        <f t="shared" si="42"/>
        <v>0</v>
      </c>
    </row>
    <row r="162" spans="1:13" x14ac:dyDescent="0.25">
      <c r="A162" s="52"/>
      <c r="B162" s="4"/>
      <c r="C162" s="52"/>
      <c r="I162" s="30"/>
      <c r="L162" s="37"/>
      <c r="M162" s="30">
        <f t="shared" si="42"/>
        <v>0</v>
      </c>
    </row>
    <row r="163" spans="1:13" x14ac:dyDescent="0.25">
      <c r="A163" s="41" t="s">
        <v>207</v>
      </c>
      <c r="B163" s="53"/>
      <c r="C163" s="41"/>
      <c r="G163">
        <f>B163</f>
        <v>0</v>
      </c>
      <c r="H163" s="37">
        <v>5.5</v>
      </c>
      <c r="I163" s="30">
        <f t="shared" ref="I163:I164" si="45">G163*H163</f>
        <v>0</v>
      </c>
      <c r="K163">
        <f>B163</f>
        <v>0</v>
      </c>
      <c r="L163" s="37">
        <v>25</v>
      </c>
      <c r="M163" s="30">
        <f t="shared" si="42"/>
        <v>0</v>
      </c>
    </row>
    <row r="164" spans="1:13" x14ac:dyDescent="0.25">
      <c r="A164" s="41" t="s">
        <v>197</v>
      </c>
      <c r="B164" s="53"/>
      <c r="C164" s="41" t="s">
        <v>208</v>
      </c>
      <c r="G164">
        <f>B163</f>
        <v>0</v>
      </c>
      <c r="H164" s="37">
        <f>B164</f>
        <v>0</v>
      </c>
      <c r="I164" s="30">
        <f t="shared" si="45"/>
        <v>0</v>
      </c>
      <c r="L164" s="37"/>
      <c r="M164" s="30">
        <f t="shared" si="42"/>
        <v>0</v>
      </c>
    </row>
    <row r="165" spans="1:13" x14ac:dyDescent="0.25">
      <c r="A165" s="52"/>
      <c r="B165" s="4"/>
      <c r="C165" s="52"/>
      <c r="I165" s="30"/>
      <c r="L165" s="37"/>
      <c r="M165" s="30">
        <f t="shared" si="42"/>
        <v>0</v>
      </c>
    </row>
    <row r="166" spans="1:13" x14ac:dyDescent="0.25">
      <c r="A166" s="41" t="s">
        <v>573</v>
      </c>
      <c r="B166" s="53"/>
      <c r="C166" s="41"/>
      <c r="G166">
        <f t="shared" ref="G166" si="46">B166</f>
        <v>0</v>
      </c>
      <c r="H166" s="37">
        <v>17</v>
      </c>
      <c r="I166" s="30">
        <f t="shared" ref="I166:I167" si="47">G166*H166</f>
        <v>0</v>
      </c>
      <c r="K166">
        <f>B166</f>
        <v>0</v>
      </c>
      <c r="L166" s="37">
        <v>35</v>
      </c>
      <c r="M166" s="30">
        <f t="shared" si="42"/>
        <v>0</v>
      </c>
    </row>
    <row r="167" spans="1:13" x14ac:dyDescent="0.25">
      <c r="A167" s="41" t="s">
        <v>195</v>
      </c>
      <c r="B167" s="53"/>
      <c r="C167" s="51"/>
      <c r="G167">
        <f>B167*4</f>
        <v>0</v>
      </c>
      <c r="H167" s="37">
        <v>2.4</v>
      </c>
      <c r="I167" s="30">
        <f t="shared" si="47"/>
        <v>0</v>
      </c>
      <c r="K167">
        <f>B167</f>
        <v>0</v>
      </c>
      <c r="L167" s="37">
        <v>25</v>
      </c>
      <c r="M167" s="30">
        <f t="shared" si="42"/>
        <v>0</v>
      </c>
    </row>
    <row r="168" spans="1:13" x14ac:dyDescent="0.25">
      <c r="A168" s="41" t="s">
        <v>200</v>
      </c>
      <c r="B168" s="54"/>
      <c r="C168" s="51" t="s">
        <v>201</v>
      </c>
      <c r="I168" s="30"/>
      <c r="L168" s="37"/>
      <c r="M168" s="30">
        <f t="shared" si="42"/>
        <v>0</v>
      </c>
    </row>
    <row r="169" spans="1:13" x14ac:dyDescent="0.25">
      <c r="A169" s="52"/>
      <c r="B169" s="4"/>
      <c r="C169" s="52"/>
      <c r="L169" s="37"/>
      <c r="M169" s="30">
        <f t="shared" si="42"/>
        <v>0</v>
      </c>
    </row>
    <row r="170" spans="1:13" x14ac:dyDescent="0.25">
      <c r="A170" s="41" t="s">
        <v>199</v>
      </c>
      <c r="B170" s="53"/>
      <c r="C170" s="41"/>
      <c r="G170">
        <f>B170</f>
        <v>0</v>
      </c>
      <c r="H170" s="37">
        <f>B171</f>
        <v>0</v>
      </c>
      <c r="I170" s="30">
        <f>G170*H170*1.1</f>
        <v>0</v>
      </c>
      <c r="L170" s="37"/>
      <c r="M170" s="30">
        <f t="shared" si="42"/>
        <v>0</v>
      </c>
    </row>
    <row r="171" spans="1:13" x14ac:dyDescent="0.25">
      <c r="A171" s="41" t="s">
        <v>202</v>
      </c>
      <c r="B171" s="54"/>
      <c r="C171" s="41"/>
      <c r="L171" s="37"/>
      <c r="M171" s="30">
        <f t="shared" si="42"/>
        <v>0</v>
      </c>
    </row>
    <row r="172" spans="1:13" x14ac:dyDescent="0.25">
      <c r="A172" s="52"/>
      <c r="C172" s="52"/>
      <c r="L172" s="37"/>
      <c r="M172" s="30">
        <f t="shared" si="42"/>
        <v>0</v>
      </c>
    </row>
    <row r="173" spans="1:13" x14ac:dyDescent="0.25">
      <c r="A173" s="41" t="s">
        <v>203</v>
      </c>
      <c r="B173" s="55"/>
      <c r="C173" s="41"/>
      <c r="I173" s="30">
        <f>B173</f>
        <v>0</v>
      </c>
      <c r="L173" s="37"/>
      <c r="M173" s="30">
        <f t="shared" si="42"/>
        <v>0</v>
      </c>
    </row>
    <row r="175" spans="1:13" x14ac:dyDescent="0.25">
      <c r="H175" s="37" t="s">
        <v>209</v>
      </c>
      <c r="I175" s="30">
        <f>SUM(I157:I173)</f>
        <v>0</v>
      </c>
      <c r="L175" t="s">
        <v>209</v>
      </c>
      <c r="M175" s="30">
        <f>SUM(M157:M174)</f>
        <v>0</v>
      </c>
    </row>
    <row r="176" spans="1:13" x14ac:dyDescent="0.25">
      <c r="A176" t="s">
        <v>153</v>
      </c>
      <c r="B176" s="30">
        <f>I175/((100-B177)/100)</f>
        <v>0</v>
      </c>
    </row>
    <row r="177" spans="1:13" x14ac:dyDescent="0.25">
      <c r="A177" t="s">
        <v>169</v>
      </c>
      <c r="B177">
        <v>0</v>
      </c>
    </row>
    <row r="179" spans="1:13" x14ac:dyDescent="0.25">
      <c r="A179" t="s">
        <v>210</v>
      </c>
      <c r="B179" s="30">
        <f>M175*((100+B180)/100)</f>
        <v>0</v>
      </c>
    </row>
    <row r="180" spans="1:13" x14ac:dyDescent="0.25">
      <c r="A180" t="s">
        <v>154</v>
      </c>
      <c r="B180">
        <v>0</v>
      </c>
    </row>
    <row r="183" spans="1:13" x14ac:dyDescent="0.25">
      <c r="A183" s="1" t="s">
        <v>112</v>
      </c>
      <c r="B183" s="1" t="s">
        <v>79</v>
      </c>
    </row>
    <row r="184" spans="1:13" x14ac:dyDescent="0.25">
      <c r="A184" s="1" t="s">
        <v>191</v>
      </c>
      <c r="B184" t="s">
        <v>192</v>
      </c>
    </row>
    <row r="185" spans="1:13" x14ac:dyDescent="0.25">
      <c r="G185" s="1" t="s">
        <v>114</v>
      </c>
      <c r="K185" s="1" t="s">
        <v>76</v>
      </c>
    </row>
    <row r="186" spans="1:13" x14ac:dyDescent="0.25">
      <c r="B186" s="1" t="s">
        <v>196</v>
      </c>
      <c r="C186" s="1" t="s">
        <v>125</v>
      </c>
      <c r="G186" t="s">
        <v>198</v>
      </c>
      <c r="H186" s="37" t="s">
        <v>126</v>
      </c>
      <c r="I186" t="s">
        <v>155</v>
      </c>
      <c r="K186" t="s">
        <v>198</v>
      </c>
      <c r="L186" t="s">
        <v>126</v>
      </c>
      <c r="M186" t="s">
        <v>155</v>
      </c>
    </row>
    <row r="187" spans="1:13" x14ac:dyDescent="0.25">
      <c r="A187" s="41" t="s">
        <v>193</v>
      </c>
      <c r="B187" s="53"/>
      <c r="C187" s="41"/>
      <c r="G187">
        <f>B187</f>
        <v>0</v>
      </c>
      <c r="H187" s="37">
        <f>B188+3.4</f>
        <v>3.4</v>
      </c>
      <c r="I187" s="30">
        <f>G187*H187</f>
        <v>0</v>
      </c>
      <c r="K187">
        <f>B187</f>
        <v>0</v>
      </c>
      <c r="L187" s="37">
        <v>12</v>
      </c>
      <c r="M187" s="30">
        <f>K187*L187</f>
        <v>0</v>
      </c>
    </row>
    <row r="188" spans="1:13" x14ac:dyDescent="0.25">
      <c r="A188" s="41" t="s">
        <v>197</v>
      </c>
      <c r="B188" s="54"/>
      <c r="C188" s="41" t="s">
        <v>204</v>
      </c>
      <c r="G188">
        <f t="shared" ref="G188" si="48">B188</f>
        <v>0</v>
      </c>
      <c r="I188" s="30">
        <f t="shared" ref="I188" si="49">G188*H188</f>
        <v>0</v>
      </c>
      <c r="L188" s="37"/>
      <c r="M188" s="30">
        <f t="shared" ref="M188:M203" si="50">K188*L188</f>
        <v>0</v>
      </c>
    </row>
    <row r="189" spans="1:13" x14ac:dyDescent="0.25">
      <c r="A189" s="52"/>
      <c r="B189" s="4"/>
      <c r="C189" s="52"/>
      <c r="I189" s="30"/>
      <c r="L189" s="37"/>
      <c r="M189" s="30">
        <f t="shared" si="50"/>
        <v>0</v>
      </c>
    </row>
    <row r="190" spans="1:13" x14ac:dyDescent="0.25">
      <c r="A190" s="41" t="s">
        <v>206</v>
      </c>
      <c r="B190" s="53"/>
      <c r="C190" s="41"/>
      <c r="G190">
        <f t="shared" ref="G190" si="51">B190</f>
        <v>0</v>
      </c>
      <c r="H190" s="37">
        <v>5.5</v>
      </c>
      <c r="I190" s="30">
        <f t="shared" ref="I190:I191" si="52">G190*H190</f>
        <v>0</v>
      </c>
      <c r="K190">
        <f>B190</f>
        <v>0</v>
      </c>
      <c r="L190" s="37">
        <v>20</v>
      </c>
      <c r="M190" s="30">
        <f t="shared" si="50"/>
        <v>0</v>
      </c>
    </row>
    <row r="191" spans="1:13" x14ac:dyDescent="0.25">
      <c r="A191" s="41" t="s">
        <v>197</v>
      </c>
      <c r="B191" s="54"/>
      <c r="C191" s="41" t="s">
        <v>205</v>
      </c>
      <c r="G191">
        <f>B190</f>
        <v>0</v>
      </c>
      <c r="H191" s="37">
        <f>B191</f>
        <v>0</v>
      </c>
      <c r="I191" s="30">
        <f t="shared" si="52"/>
        <v>0</v>
      </c>
      <c r="L191" s="37"/>
      <c r="M191" s="30">
        <f t="shared" si="50"/>
        <v>0</v>
      </c>
    </row>
    <row r="192" spans="1:13" x14ac:dyDescent="0.25">
      <c r="A192" s="52"/>
      <c r="B192" s="4"/>
      <c r="C192" s="52"/>
      <c r="I192" s="30"/>
      <c r="L192" s="37"/>
      <c r="M192" s="30">
        <f t="shared" si="50"/>
        <v>0</v>
      </c>
    </row>
    <row r="193" spans="1:13" x14ac:dyDescent="0.25">
      <c r="A193" s="41" t="s">
        <v>207</v>
      </c>
      <c r="B193" s="53"/>
      <c r="C193" s="41"/>
      <c r="G193">
        <f>B193</f>
        <v>0</v>
      </c>
      <c r="H193" s="37">
        <v>5.5</v>
      </c>
      <c r="I193" s="30">
        <f t="shared" ref="I193:I194" si="53">G193*H193</f>
        <v>0</v>
      </c>
      <c r="K193">
        <f>B193</f>
        <v>0</v>
      </c>
      <c r="L193" s="37">
        <v>25</v>
      </c>
      <c r="M193" s="30">
        <f t="shared" si="50"/>
        <v>0</v>
      </c>
    </row>
    <row r="194" spans="1:13" x14ac:dyDescent="0.25">
      <c r="A194" s="41" t="s">
        <v>197</v>
      </c>
      <c r="B194" s="53"/>
      <c r="C194" s="41" t="s">
        <v>208</v>
      </c>
      <c r="G194">
        <f>B193</f>
        <v>0</v>
      </c>
      <c r="H194" s="37">
        <f>B194</f>
        <v>0</v>
      </c>
      <c r="I194" s="30">
        <f t="shared" si="53"/>
        <v>0</v>
      </c>
      <c r="L194" s="37"/>
      <c r="M194" s="30">
        <f t="shared" si="50"/>
        <v>0</v>
      </c>
    </row>
    <row r="195" spans="1:13" x14ac:dyDescent="0.25">
      <c r="A195" s="52"/>
      <c r="B195" s="4"/>
      <c r="C195" s="52"/>
      <c r="I195" s="30"/>
      <c r="L195" s="37"/>
      <c r="M195" s="30">
        <f t="shared" si="50"/>
        <v>0</v>
      </c>
    </row>
    <row r="196" spans="1:13" x14ac:dyDescent="0.25">
      <c r="A196" s="41" t="s">
        <v>573</v>
      </c>
      <c r="B196" s="53"/>
      <c r="C196" s="41"/>
      <c r="G196">
        <f t="shared" ref="G196" si="54">B196</f>
        <v>0</v>
      </c>
      <c r="H196" s="37">
        <v>17</v>
      </c>
      <c r="I196" s="30">
        <f t="shared" ref="I196:I197" si="55">G196*H196</f>
        <v>0</v>
      </c>
      <c r="K196">
        <f>B196</f>
        <v>0</v>
      </c>
      <c r="L196" s="37">
        <v>35</v>
      </c>
      <c r="M196" s="30">
        <f t="shared" si="50"/>
        <v>0</v>
      </c>
    </row>
    <row r="197" spans="1:13" x14ac:dyDescent="0.25">
      <c r="A197" s="41" t="s">
        <v>195</v>
      </c>
      <c r="B197" s="53"/>
      <c r="C197" s="51"/>
      <c r="G197">
        <f>B197*4</f>
        <v>0</v>
      </c>
      <c r="H197" s="37">
        <v>2.4</v>
      </c>
      <c r="I197" s="30">
        <f t="shared" si="55"/>
        <v>0</v>
      </c>
      <c r="K197">
        <f>B197</f>
        <v>0</v>
      </c>
      <c r="L197" s="37">
        <v>25</v>
      </c>
      <c r="M197" s="30">
        <f t="shared" si="50"/>
        <v>0</v>
      </c>
    </row>
    <row r="198" spans="1:13" x14ac:dyDescent="0.25">
      <c r="A198" s="41" t="s">
        <v>200</v>
      </c>
      <c r="B198" s="54"/>
      <c r="C198" s="51" t="s">
        <v>201</v>
      </c>
      <c r="I198" s="30"/>
      <c r="L198" s="37"/>
      <c r="M198" s="30">
        <f t="shared" si="50"/>
        <v>0</v>
      </c>
    </row>
    <row r="199" spans="1:13" x14ac:dyDescent="0.25">
      <c r="A199" s="52"/>
      <c r="B199" s="4"/>
      <c r="C199" s="52"/>
      <c r="L199" s="37"/>
      <c r="M199" s="30">
        <f t="shared" si="50"/>
        <v>0</v>
      </c>
    </row>
    <row r="200" spans="1:13" x14ac:dyDescent="0.25">
      <c r="A200" s="41" t="s">
        <v>199</v>
      </c>
      <c r="B200" s="53"/>
      <c r="C200" s="41"/>
      <c r="G200">
        <f>B200</f>
        <v>0</v>
      </c>
      <c r="H200" s="37">
        <f>B201</f>
        <v>0</v>
      </c>
      <c r="I200" s="30">
        <f>G200*H200*1.1</f>
        <v>0</v>
      </c>
      <c r="L200" s="37"/>
      <c r="M200" s="30">
        <f t="shared" si="50"/>
        <v>0</v>
      </c>
    </row>
    <row r="201" spans="1:13" x14ac:dyDescent="0.25">
      <c r="A201" s="41" t="s">
        <v>202</v>
      </c>
      <c r="B201" s="54"/>
      <c r="C201" s="41"/>
      <c r="L201" s="37"/>
      <c r="M201" s="30">
        <f t="shared" si="50"/>
        <v>0</v>
      </c>
    </row>
    <row r="202" spans="1:13" x14ac:dyDescent="0.25">
      <c r="A202" s="52"/>
      <c r="C202" s="52"/>
      <c r="L202" s="37"/>
      <c r="M202" s="30">
        <f t="shared" si="50"/>
        <v>0</v>
      </c>
    </row>
    <row r="203" spans="1:13" x14ac:dyDescent="0.25">
      <c r="A203" s="41" t="s">
        <v>203</v>
      </c>
      <c r="B203" s="55"/>
      <c r="C203" s="41"/>
      <c r="I203" s="30">
        <f>B203</f>
        <v>0</v>
      </c>
      <c r="L203" s="37"/>
      <c r="M203" s="30">
        <f t="shared" si="50"/>
        <v>0</v>
      </c>
    </row>
    <row r="205" spans="1:13" x14ac:dyDescent="0.25">
      <c r="H205" s="37" t="s">
        <v>209</v>
      </c>
      <c r="I205" s="30">
        <f>SUM(I187:I203)</f>
        <v>0</v>
      </c>
      <c r="L205" t="s">
        <v>209</v>
      </c>
      <c r="M205" s="30">
        <f>SUM(M187:M204)</f>
        <v>0</v>
      </c>
    </row>
    <row r="206" spans="1:13" x14ac:dyDescent="0.25">
      <c r="A206" t="s">
        <v>153</v>
      </c>
      <c r="B206" s="30">
        <f>I205/((100-B207)/100)</f>
        <v>0</v>
      </c>
    </row>
    <row r="207" spans="1:13" x14ac:dyDescent="0.25">
      <c r="A207" t="s">
        <v>169</v>
      </c>
      <c r="B207">
        <v>0</v>
      </c>
    </row>
    <row r="209" spans="1:13" x14ac:dyDescent="0.25">
      <c r="A209" t="s">
        <v>210</v>
      </c>
      <c r="B209" s="30">
        <f>M205*((100+B210)/100)</f>
        <v>0</v>
      </c>
    </row>
    <row r="210" spans="1:13" x14ac:dyDescent="0.25">
      <c r="A210" t="s">
        <v>154</v>
      </c>
      <c r="B210">
        <v>0</v>
      </c>
    </row>
    <row r="213" spans="1:13" x14ac:dyDescent="0.25">
      <c r="A213" s="1" t="s">
        <v>113</v>
      </c>
      <c r="B213" s="1" t="s">
        <v>79</v>
      </c>
    </row>
    <row r="214" spans="1:13" x14ac:dyDescent="0.25">
      <c r="A214" s="1" t="s">
        <v>191</v>
      </c>
      <c r="B214" t="s">
        <v>192</v>
      </c>
    </row>
    <row r="215" spans="1:13" x14ac:dyDescent="0.25">
      <c r="G215" s="1" t="s">
        <v>114</v>
      </c>
      <c r="K215" s="1" t="s">
        <v>76</v>
      </c>
    </row>
    <row r="216" spans="1:13" x14ac:dyDescent="0.25">
      <c r="B216" s="1" t="s">
        <v>196</v>
      </c>
      <c r="C216" s="1" t="s">
        <v>125</v>
      </c>
      <c r="G216" t="s">
        <v>198</v>
      </c>
      <c r="H216" s="37" t="s">
        <v>126</v>
      </c>
      <c r="I216" t="s">
        <v>155</v>
      </c>
      <c r="K216" t="s">
        <v>198</v>
      </c>
      <c r="L216" t="s">
        <v>126</v>
      </c>
      <c r="M216" t="s">
        <v>155</v>
      </c>
    </row>
    <row r="217" spans="1:13" x14ac:dyDescent="0.25">
      <c r="A217" s="41" t="s">
        <v>193</v>
      </c>
      <c r="B217" s="53"/>
      <c r="C217" s="41"/>
      <c r="G217">
        <f>B217</f>
        <v>0</v>
      </c>
      <c r="H217" s="37">
        <f>B218+3.4</f>
        <v>3.4</v>
      </c>
      <c r="I217" s="30">
        <f>G217*H217</f>
        <v>0</v>
      </c>
      <c r="K217">
        <f>B217</f>
        <v>0</v>
      </c>
      <c r="L217" s="37">
        <v>12</v>
      </c>
      <c r="M217" s="30">
        <f>K217*L217</f>
        <v>0</v>
      </c>
    </row>
    <row r="218" spans="1:13" x14ac:dyDescent="0.25">
      <c r="A218" s="41" t="s">
        <v>197</v>
      </c>
      <c r="B218" s="54"/>
      <c r="C218" s="41" t="s">
        <v>204</v>
      </c>
      <c r="G218">
        <f t="shared" ref="G218" si="56">B218</f>
        <v>0</v>
      </c>
      <c r="I218" s="30">
        <f t="shared" ref="I218" si="57">G218*H218</f>
        <v>0</v>
      </c>
      <c r="L218" s="37"/>
      <c r="M218" s="30">
        <f t="shared" ref="M218:M233" si="58">K218*L218</f>
        <v>0</v>
      </c>
    </row>
    <row r="219" spans="1:13" x14ac:dyDescent="0.25">
      <c r="A219" s="52"/>
      <c r="B219" s="4"/>
      <c r="C219" s="52"/>
      <c r="I219" s="30"/>
      <c r="L219" s="37"/>
      <c r="M219" s="30">
        <f t="shared" si="58"/>
        <v>0</v>
      </c>
    </row>
    <row r="220" spans="1:13" x14ac:dyDescent="0.25">
      <c r="A220" s="41" t="s">
        <v>206</v>
      </c>
      <c r="B220" s="53"/>
      <c r="C220" s="41"/>
      <c r="G220">
        <f t="shared" ref="G220" si="59">B220</f>
        <v>0</v>
      </c>
      <c r="H220" s="37">
        <v>5.5</v>
      </c>
      <c r="I220" s="30">
        <f t="shared" ref="I220:I221" si="60">G220*H220</f>
        <v>0</v>
      </c>
      <c r="K220">
        <f>B220</f>
        <v>0</v>
      </c>
      <c r="L220" s="37">
        <v>20</v>
      </c>
      <c r="M220" s="30">
        <f t="shared" si="58"/>
        <v>0</v>
      </c>
    </row>
    <row r="221" spans="1:13" x14ac:dyDescent="0.25">
      <c r="A221" s="41" t="s">
        <v>197</v>
      </c>
      <c r="B221" s="54"/>
      <c r="C221" s="41" t="s">
        <v>205</v>
      </c>
      <c r="G221">
        <f>B220</f>
        <v>0</v>
      </c>
      <c r="H221" s="37">
        <f>B221</f>
        <v>0</v>
      </c>
      <c r="I221" s="30">
        <f t="shared" si="60"/>
        <v>0</v>
      </c>
      <c r="L221" s="37"/>
      <c r="M221" s="30">
        <f t="shared" si="58"/>
        <v>0</v>
      </c>
    </row>
    <row r="222" spans="1:13" x14ac:dyDescent="0.25">
      <c r="A222" s="52"/>
      <c r="B222" s="4"/>
      <c r="C222" s="52"/>
      <c r="I222" s="30"/>
      <c r="L222" s="37"/>
      <c r="M222" s="30">
        <f t="shared" si="58"/>
        <v>0</v>
      </c>
    </row>
    <row r="223" spans="1:13" x14ac:dyDescent="0.25">
      <c r="A223" s="41" t="s">
        <v>207</v>
      </c>
      <c r="B223" s="53"/>
      <c r="C223" s="41"/>
      <c r="G223">
        <f>B223</f>
        <v>0</v>
      </c>
      <c r="H223" s="37">
        <v>5.5</v>
      </c>
      <c r="I223" s="30">
        <f t="shared" ref="I223:I224" si="61">G223*H223</f>
        <v>0</v>
      </c>
      <c r="K223">
        <f>B223</f>
        <v>0</v>
      </c>
      <c r="L223" s="37">
        <v>25</v>
      </c>
      <c r="M223" s="30">
        <f t="shared" si="58"/>
        <v>0</v>
      </c>
    </row>
    <row r="224" spans="1:13" x14ac:dyDescent="0.25">
      <c r="A224" s="41" t="s">
        <v>197</v>
      </c>
      <c r="B224" s="53"/>
      <c r="C224" s="41" t="s">
        <v>208</v>
      </c>
      <c r="G224">
        <f>B223</f>
        <v>0</v>
      </c>
      <c r="H224" s="37">
        <f>B224</f>
        <v>0</v>
      </c>
      <c r="I224" s="30">
        <f t="shared" si="61"/>
        <v>0</v>
      </c>
      <c r="L224" s="37"/>
      <c r="M224" s="30">
        <f t="shared" si="58"/>
        <v>0</v>
      </c>
    </row>
    <row r="225" spans="1:13" x14ac:dyDescent="0.25">
      <c r="A225" s="52"/>
      <c r="B225" s="4"/>
      <c r="C225" s="52"/>
      <c r="I225" s="30"/>
      <c r="L225" s="37"/>
      <c r="M225" s="30">
        <f t="shared" si="58"/>
        <v>0</v>
      </c>
    </row>
    <row r="226" spans="1:13" x14ac:dyDescent="0.25">
      <c r="A226" s="41" t="s">
        <v>573</v>
      </c>
      <c r="B226" s="53"/>
      <c r="C226" s="41"/>
      <c r="G226">
        <f t="shared" ref="G226" si="62">B226</f>
        <v>0</v>
      </c>
      <c r="H226" s="37">
        <v>17</v>
      </c>
      <c r="I226" s="30">
        <f t="shared" ref="I226:I227" si="63">G226*H226</f>
        <v>0</v>
      </c>
      <c r="K226">
        <f>B226</f>
        <v>0</v>
      </c>
      <c r="L226" s="37">
        <v>35</v>
      </c>
      <c r="M226" s="30">
        <f t="shared" si="58"/>
        <v>0</v>
      </c>
    </row>
    <row r="227" spans="1:13" x14ac:dyDescent="0.25">
      <c r="A227" s="41" t="s">
        <v>195</v>
      </c>
      <c r="B227" s="53"/>
      <c r="C227" s="51"/>
      <c r="G227">
        <f>B227*4</f>
        <v>0</v>
      </c>
      <c r="H227" s="37">
        <v>2.4</v>
      </c>
      <c r="I227" s="30">
        <f t="shared" si="63"/>
        <v>0</v>
      </c>
      <c r="K227">
        <f>B227</f>
        <v>0</v>
      </c>
      <c r="L227" s="37">
        <v>25</v>
      </c>
      <c r="M227" s="30">
        <f t="shared" si="58"/>
        <v>0</v>
      </c>
    </row>
    <row r="228" spans="1:13" x14ac:dyDescent="0.25">
      <c r="A228" s="41" t="s">
        <v>200</v>
      </c>
      <c r="B228" s="54"/>
      <c r="C228" s="51" t="s">
        <v>201</v>
      </c>
      <c r="I228" s="30"/>
      <c r="L228" s="37"/>
      <c r="M228" s="30">
        <f t="shared" si="58"/>
        <v>0</v>
      </c>
    </row>
    <row r="229" spans="1:13" x14ac:dyDescent="0.25">
      <c r="A229" s="52"/>
      <c r="B229" s="4"/>
      <c r="C229" s="52"/>
      <c r="L229" s="37"/>
      <c r="M229" s="30">
        <f t="shared" si="58"/>
        <v>0</v>
      </c>
    </row>
    <row r="230" spans="1:13" x14ac:dyDescent="0.25">
      <c r="A230" s="41" t="s">
        <v>199</v>
      </c>
      <c r="B230" s="53"/>
      <c r="C230" s="41"/>
      <c r="G230">
        <f>B230</f>
        <v>0</v>
      </c>
      <c r="H230" s="37">
        <f>B231</f>
        <v>0</v>
      </c>
      <c r="I230" s="30">
        <f>G230*H230*1.1</f>
        <v>0</v>
      </c>
      <c r="L230" s="37"/>
      <c r="M230" s="30">
        <f t="shared" si="58"/>
        <v>0</v>
      </c>
    </row>
    <row r="231" spans="1:13" x14ac:dyDescent="0.25">
      <c r="A231" s="41" t="s">
        <v>202</v>
      </c>
      <c r="B231" s="54"/>
      <c r="C231" s="41"/>
      <c r="L231" s="37"/>
      <c r="M231" s="30">
        <f t="shared" si="58"/>
        <v>0</v>
      </c>
    </row>
    <row r="232" spans="1:13" x14ac:dyDescent="0.25">
      <c r="A232" s="52"/>
      <c r="C232" s="52"/>
      <c r="L232" s="37"/>
      <c r="M232" s="30">
        <f t="shared" si="58"/>
        <v>0</v>
      </c>
    </row>
    <row r="233" spans="1:13" x14ac:dyDescent="0.25">
      <c r="A233" s="41" t="s">
        <v>203</v>
      </c>
      <c r="B233" s="55"/>
      <c r="C233" s="41"/>
      <c r="I233" s="30">
        <f>B233</f>
        <v>0</v>
      </c>
      <c r="L233" s="37"/>
      <c r="M233" s="30">
        <f t="shared" si="58"/>
        <v>0</v>
      </c>
    </row>
    <row r="235" spans="1:13" x14ac:dyDescent="0.25">
      <c r="H235" s="37" t="s">
        <v>209</v>
      </c>
      <c r="I235" s="30">
        <f>SUM(I217:I233)</f>
        <v>0</v>
      </c>
      <c r="L235" t="s">
        <v>209</v>
      </c>
      <c r="M235" s="30">
        <f>SUM(M217:M234)</f>
        <v>0</v>
      </c>
    </row>
    <row r="236" spans="1:13" x14ac:dyDescent="0.25">
      <c r="A236" t="s">
        <v>153</v>
      </c>
      <c r="B236" s="30">
        <f>I235/((100-B237)/100)</f>
        <v>0</v>
      </c>
    </row>
    <row r="237" spans="1:13" x14ac:dyDescent="0.25">
      <c r="A237" t="s">
        <v>169</v>
      </c>
      <c r="B237">
        <v>0</v>
      </c>
    </row>
    <row r="239" spans="1:13" x14ac:dyDescent="0.25">
      <c r="A239" t="s">
        <v>210</v>
      </c>
      <c r="B239" s="30">
        <f>M235*((100+B240)/100)</f>
        <v>0</v>
      </c>
    </row>
    <row r="240" spans="1:13" x14ac:dyDescent="0.25">
      <c r="A240" t="s">
        <v>154</v>
      </c>
      <c r="B240">
        <v>0</v>
      </c>
    </row>
  </sheetData>
  <autoFilter ref="B1:B240" xr:uid="{F1E4D198-CCE4-4EBE-AB19-39FEBB68F37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002E-152A-449E-A247-0CB9282F6A43}">
  <dimension ref="A1:R330"/>
  <sheetViews>
    <sheetView topLeftCell="A19" zoomScaleNormal="100" workbookViewId="0">
      <selection activeCell="B67" sqref="B67"/>
    </sheetView>
  </sheetViews>
  <sheetFormatPr defaultColWidth="8.85546875" defaultRowHeight="15" x14ac:dyDescent="0.25"/>
  <cols>
    <col min="1" max="1" width="49.85546875" customWidth="1"/>
    <col min="2" max="2" width="13" customWidth="1"/>
    <col min="3" max="3" width="36.85546875" customWidth="1"/>
    <col min="9" max="9" width="12" customWidth="1"/>
    <col min="10" max="10" width="13.42578125" customWidth="1"/>
    <col min="14" max="14" width="15" customWidth="1"/>
    <col min="15" max="15" width="16" customWidth="1"/>
    <col min="17" max="17" width="16.42578125" customWidth="1"/>
    <col min="18" max="18" width="15.42578125" customWidth="1"/>
  </cols>
  <sheetData>
    <row r="1" spans="1:18" x14ac:dyDescent="0.25">
      <c r="A1" s="1" t="s">
        <v>487</v>
      </c>
    </row>
    <row r="2" spans="1:18" x14ac:dyDescent="0.25">
      <c r="A2" s="1"/>
    </row>
    <row r="3" spans="1:18" x14ac:dyDescent="0.25">
      <c r="A3" s="1" t="s">
        <v>106</v>
      </c>
      <c r="B3" s="1" t="s">
        <v>79</v>
      </c>
      <c r="I3" s="37"/>
    </row>
    <row r="4" spans="1:18" x14ac:dyDescent="0.25">
      <c r="A4" s="1" t="s">
        <v>487</v>
      </c>
      <c r="B4" t="s">
        <v>643</v>
      </c>
      <c r="I4" s="37"/>
    </row>
    <row r="5" spans="1:18" x14ac:dyDescent="0.25">
      <c r="H5" s="1" t="s">
        <v>114</v>
      </c>
      <c r="I5" s="37"/>
      <c r="L5" s="1" t="s">
        <v>76</v>
      </c>
      <c r="P5" s="1" t="s">
        <v>144</v>
      </c>
    </row>
    <row r="6" spans="1:18" x14ac:dyDescent="0.25">
      <c r="B6" s="1" t="s">
        <v>196</v>
      </c>
      <c r="C6" s="1" t="s">
        <v>125</v>
      </c>
      <c r="D6" s="1" t="s">
        <v>221</v>
      </c>
      <c r="H6" t="s">
        <v>198</v>
      </c>
      <c r="I6" s="37" t="s">
        <v>126</v>
      </c>
      <c r="J6" t="s">
        <v>155</v>
      </c>
      <c r="L6" t="s">
        <v>198</v>
      </c>
      <c r="M6" t="s">
        <v>126</v>
      </c>
      <c r="N6" t="s">
        <v>155</v>
      </c>
      <c r="P6" t="s">
        <v>28</v>
      </c>
      <c r="Q6" t="s">
        <v>529</v>
      </c>
      <c r="R6" t="s">
        <v>530</v>
      </c>
    </row>
    <row r="7" spans="1:18" x14ac:dyDescent="0.25">
      <c r="A7" s="41" t="s">
        <v>523</v>
      </c>
      <c r="B7" s="53"/>
      <c r="C7" s="60"/>
      <c r="D7" s="60"/>
      <c r="E7" s="25"/>
      <c r="H7">
        <f>B7</f>
        <v>0</v>
      </c>
      <c r="I7" s="37">
        <f>(B8*(D8/100+1))+3</f>
        <v>3</v>
      </c>
      <c r="J7" s="30">
        <f>H7*I7</f>
        <v>0</v>
      </c>
      <c r="L7">
        <f>B7</f>
        <v>0</v>
      </c>
      <c r="M7" s="37">
        <v>38</v>
      </c>
      <c r="N7" s="30">
        <f>L7*M7</f>
        <v>0</v>
      </c>
      <c r="O7" t="s">
        <v>531</v>
      </c>
      <c r="P7">
        <f>B7*3</f>
        <v>0</v>
      </c>
      <c r="Q7">
        <f>P7/20</f>
        <v>0</v>
      </c>
      <c r="R7">
        <f>ROUNDUP(Q7,0)</f>
        <v>0</v>
      </c>
    </row>
    <row r="8" spans="1:18" x14ac:dyDescent="0.25">
      <c r="A8" s="41" t="s">
        <v>197</v>
      </c>
      <c r="B8" s="54"/>
      <c r="C8" s="41"/>
      <c r="D8" s="41">
        <v>10</v>
      </c>
      <c r="I8" s="37"/>
      <c r="J8" s="30">
        <f t="shared" ref="J8" si="0">H8*I8</f>
        <v>0</v>
      </c>
      <c r="M8" s="37"/>
      <c r="N8" s="30">
        <f t="shared" ref="N8:N22" si="1">L8*M8</f>
        <v>0</v>
      </c>
      <c r="R8">
        <f t="shared" ref="R8:R24" si="2">ROUNDUP(Q8,0)</f>
        <v>0</v>
      </c>
    </row>
    <row r="9" spans="1:18" x14ac:dyDescent="0.25">
      <c r="A9" s="52"/>
      <c r="B9" s="4"/>
      <c r="C9" s="52"/>
      <c r="D9" s="60"/>
      <c r="I9" s="37"/>
      <c r="J9" s="30"/>
      <c r="M9" s="37"/>
      <c r="N9" s="30">
        <f t="shared" si="1"/>
        <v>0</v>
      </c>
      <c r="R9">
        <f t="shared" si="2"/>
        <v>0</v>
      </c>
    </row>
    <row r="10" spans="1:18" x14ac:dyDescent="0.25">
      <c r="A10" s="41" t="s">
        <v>524</v>
      </c>
      <c r="B10" s="53">
        <v>65</v>
      </c>
      <c r="C10" s="60"/>
      <c r="D10" s="60"/>
      <c r="E10" s="25"/>
      <c r="H10">
        <f t="shared" ref="H10" si="3">B10</f>
        <v>65</v>
      </c>
      <c r="I10" s="37">
        <f t="shared" ref="I10" si="4">(B11*(D11/100+1))+3</f>
        <v>47</v>
      </c>
      <c r="J10" s="30">
        <f t="shared" ref="J10" si="5">H10*I10</f>
        <v>3055</v>
      </c>
      <c r="L10">
        <f>B10</f>
        <v>65</v>
      </c>
      <c r="M10" s="37">
        <v>38</v>
      </c>
      <c r="N10" s="30">
        <f t="shared" si="1"/>
        <v>2470</v>
      </c>
      <c r="O10" t="s">
        <v>531</v>
      </c>
      <c r="P10">
        <f>B10*3</f>
        <v>195</v>
      </c>
      <c r="Q10">
        <f t="shared" ref="Q10:Q13" si="6">P10/20</f>
        <v>9.75</v>
      </c>
      <c r="R10">
        <f t="shared" si="2"/>
        <v>10</v>
      </c>
    </row>
    <row r="11" spans="1:18" x14ac:dyDescent="0.25">
      <c r="A11" s="41" t="s">
        <v>197</v>
      </c>
      <c r="B11" s="54">
        <v>40</v>
      </c>
      <c r="C11" s="41" t="s">
        <v>555</v>
      </c>
      <c r="D11" s="41">
        <v>10</v>
      </c>
      <c r="I11" s="37"/>
      <c r="J11" s="30"/>
      <c r="M11" s="37"/>
      <c r="N11" s="30">
        <f t="shared" si="1"/>
        <v>0</v>
      </c>
      <c r="R11">
        <f t="shared" si="2"/>
        <v>0</v>
      </c>
    </row>
    <row r="12" spans="1:18" x14ac:dyDescent="0.25">
      <c r="A12" s="52"/>
      <c r="B12" s="4"/>
      <c r="C12" s="52"/>
      <c r="D12" s="60"/>
      <c r="I12" s="37"/>
      <c r="J12" s="30"/>
      <c r="M12" s="37"/>
      <c r="N12" s="30">
        <f t="shared" si="1"/>
        <v>0</v>
      </c>
      <c r="R12">
        <f t="shared" si="2"/>
        <v>0</v>
      </c>
    </row>
    <row r="13" spans="1:18" x14ac:dyDescent="0.25">
      <c r="A13" s="41" t="s">
        <v>535</v>
      </c>
      <c r="B13" s="53"/>
      <c r="C13" s="60"/>
      <c r="D13" s="60"/>
      <c r="E13" s="25" t="s">
        <v>528</v>
      </c>
      <c r="H13">
        <f>B13</f>
        <v>0</v>
      </c>
      <c r="I13" s="37">
        <f>(B14*(D14/100+1))</f>
        <v>0</v>
      </c>
      <c r="J13" s="30">
        <f t="shared" ref="J13" si="7">H13*I13</f>
        <v>0</v>
      </c>
      <c r="L13">
        <f>B13</f>
        <v>0</v>
      </c>
      <c r="M13" s="37">
        <v>75</v>
      </c>
      <c r="N13" s="30">
        <f t="shared" si="1"/>
        <v>0</v>
      </c>
      <c r="O13" t="s">
        <v>531</v>
      </c>
      <c r="P13">
        <f>B13*3</f>
        <v>0</v>
      </c>
      <c r="Q13">
        <f t="shared" si="6"/>
        <v>0</v>
      </c>
      <c r="R13">
        <f t="shared" si="2"/>
        <v>0</v>
      </c>
    </row>
    <row r="14" spans="1:18" x14ac:dyDescent="0.25">
      <c r="A14" s="41" t="s">
        <v>197</v>
      </c>
      <c r="B14" s="54"/>
      <c r="C14" s="41"/>
      <c r="D14" s="41">
        <v>10</v>
      </c>
      <c r="I14" s="37"/>
      <c r="J14" s="30"/>
      <c r="M14" s="37"/>
      <c r="N14" s="30">
        <f t="shared" si="1"/>
        <v>0</v>
      </c>
      <c r="R14">
        <f t="shared" si="2"/>
        <v>0</v>
      </c>
    </row>
    <row r="15" spans="1:18" x14ac:dyDescent="0.25">
      <c r="A15" s="52"/>
      <c r="B15" s="4"/>
      <c r="C15" s="52"/>
      <c r="D15" s="60"/>
      <c r="I15" s="37"/>
      <c r="J15" s="30"/>
      <c r="M15" s="37"/>
      <c r="N15" s="30">
        <f t="shared" si="1"/>
        <v>0</v>
      </c>
      <c r="R15">
        <f t="shared" si="2"/>
        <v>0</v>
      </c>
    </row>
    <row r="16" spans="1:18" x14ac:dyDescent="0.25">
      <c r="A16" s="41" t="s">
        <v>525</v>
      </c>
      <c r="B16" s="53">
        <v>65</v>
      </c>
      <c r="C16" s="60"/>
      <c r="D16" s="60"/>
      <c r="H16">
        <v>1</v>
      </c>
      <c r="I16" s="37">
        <f>B16*1.8*7.14</f>
        <v>835.38</v>
      </c>
      <c r="J16" s="30">
        <f t="shared" ref="J16" si="8">H16*I16</f>
        <v>835.38</v>
      </c>
      <c r="L16">
        <f>B16</f>
        <v>65</v>
      </c>
      <c r="M16" s="37">
        <v>14.04</v>
      </c>
      <c r="N16" s="30">
        <f t="shared" si="1"/>
        <v>912.59999999999991</v>
      </c>
      <c r="O16" t="s">
        <v>391</v>
      </c>
      <c r="P16">
        <f>B16*1.8</f>
        <v>117</v>
      </c>
      <c r="Q16">
        <f>P16/15</f>
        <v>7.8</v>
      </c>
      <c r="R16">
        <f t="shared" si="2"/>
        <v>8</v>
      </c>
    </row>
    <row r="17" spans="1:18" x14ac:dyDescent="0.25">
      <c r="A17" s="52"/>
      <c r="B17" s="4"/>
      <c r="C17" s="52"/>
      <c r="D17" s="60"/>
      <c r="I17" s="37"/>
      <c r="M17" s="37"/>
      <c r="N17" s="30">
        <f t="shared" si="1"/>
        <v>0</v>
      </c>
      <c r="R17">
        <f t="shared" si="2"/>
        <v>0</v>
      </c>
    </row>
    <row r="18" spans="1:18" x14ac:dyDescent="0.25">
      <c r="A18" s="41" t="s">
        <v>526</v>
      </c>
      <c r="B18" s="53">
        <v>180</v>
      </c>
      <c r="C18" s="60"/>
      <c r="D18" s="60"/>
      <c r="H18">
        <f>B18</f>
        <v>180</v>
      </c>
      <c r="I18" s="37">
        <v>0.51</v>
      </c>
      <c r="J18" s="30">
        <f>H18*I18*1.1</f>
        <v>100.98</v>
      </c>
      <c r="L18">
        <f t="shared" ref="L18" si="9">B18</f>
        <v>180</v>
      </c>
      <c r="M18" s="37">
        <v>2.8</v>
      </c>
      <c r="N18" s="30">
        <f t="shared" si="1"/>
        <v>503.99999999999994</v>
      </c>
      <c r="O18" t="s">
        <v>534</v>
      </c>
      <c r="P18">
        <f>B18</f>
        <v>180</v>
      </c>
      <c r="Q18">
        <f>P18/40</f>
        <v>4.5</v>
      </c>
      <c r="R18">
        <f t="shared" si="2"/>
        <v>5</v>
      </c>
    </row>
    <row r="19" spans="1:18" x14ac:dyDescent="0.25">
      <c r="A19" s="52"/>
      <c r="B19" s="4"/>
      <c r="C19" s="52"/>
      <c r="D19" s="65"/>
      <c r="I19" s="37"/>
      <c r="J19" s="30"/>
      <c r="M19" s="37"/>
      <c r="N19" s="30">
        <f t="shared" si="1"/>
        <v>0</v>
      </c>
      <c r="R19">
        <f t="shared" si="2"/>
        <v>0</v>
      </c>
    </row>
    <row r="20" spans="1:18" x14ac:dyDescent="0.25">
      <c r="A20" s="41" t="s">
        <v>396</v>
      </c>
      <c r="B20" s="17">
        <v>8</v>
      </c>
      <c r="C20" s="60"/>
      <c r="D20" s="60"/>
      <c r="H20">
        <f>B20</f>
        <v>8</v>
      </c>
      <c r="I20" s="37">
        <f>10.35</f>
        <v>10.35</v>
      </c>
      <c r="J20" s="30">
        <f>H20*I20</f>
        <v>82.8</v>
      </c>
      <c r="L20">
        <f t="shared" ref="L20" si="10">B20</f>
        <v>8</v>
      </c>
      <c r="M20" s="37">
        <v>4.4000000000000004</v>
      </c>
      <c r="N20" s="30">
        <f t="shared" si="1"/>
        <v>35.200000000000003</v>
      </c>
      <c r="O20" t="s">
        <v>396</v>
      </c>
      <c r="Q20">
        <f>B20</f>
        <v>8</v>
      </c>
      <c r="R20">
        <f t="shared" si="2"/>
        <v>8</v>
      </c>
    </row>
    <row r="21" spans="1:18" x14ac:dyDescent="0.25">
      <c r="A21" s="52"/>
      <c r="B21" s="4"/>
      <c r="C21" s="52"/>
      <c r="D21" s="52"/>
      <c r="I21" s="37"/>
      <c r="J21" s="30"/>
      <c r="M21" s="37"/>
      <c r="N21" s="30">
        <f t="shared" si="1"/>
        <v>0</v>
      </c>
      <c r="R21">
        <f t="shared" si="2"/>
        <v>0</v>
      </c>
    </row>
    <row r="22" spans="1:18" x14ac:dyDescent="0.25">
      <c r="A22" s="41" t="s">
        <v>527</v>
      </c>
      <c r="B22" s="17">
        <v>30</v>
      </c>
      <c r="C22" s="60"/>
      <c r="D22" s="60"/>
      <c r="E22" s="25"/>
      <c r="H22">
        <f>B22</f>
        <v>30</v>
      </c>
      <c r="I22" s="37">
        <v>10.42</v>
      </c>
      <c r="J22" s="30">
        <f t="shared" ref="J22" si="11">H22*I22</f>
        <v>312.60000000000002</v>
      </c>
      <c r="L22">
        <f>B22</f>
        <v>30</v>
      </c>
      <c r="M22" s="37">
        <v>2.8</v>
      </c>
      <c r="N22" s="30">
        <f t="shared" si="1"/>
        <v>84</v>
      </c>
      <c r="O22" t="s">
        <v>527</v>
      </c>
      <c r="Q22">
        <f>B22</f>
        <v>30</v>
      </c>
      <c r="R22">
        <f t="shared" si="2"/>
        <v>30</v>
      </c>
    </row>
    <row r="23" spans="1:18" x14ac:dyDescent="0.25">
      <c r="A23" s="52"/>
      <c r="B23" s="4"/>
      <c r="C23" s="52"/>
      <c r="D23" s="66"/>
      <c r="I23" s="37"/>
      <c r="J23" s="30"/>
      <c r="M23" s="37"/>
      <c r="N23" s="30"/>
    </row>
    <row r="24" spans="1:18" x14ac:dyDescent="0.25">
      <c r="A24" s="41" t="s">
        <v>532</v>
      </c>
      <c r="B24" s="17">
        <v>65</v>
      </c>
      <c r="C24" s="60"/>
      <c r="D24" s="60"/>
      <c r="E24" s="25"/>
      <c r="H24">
        <f>B24</f>
        <v>65</v>
      </c>
      <c r="I24" s="37">
        <v>3.17</v>
      </c>
      <c r="J24" s="30">
        <f t="shared" ref="J24" si="12">H24*I24</f>
        <v>206.04999999999998</v>
      </c>
      <c r="L24">
        <f>B24</f>
        <v>65</v>
      </c>
      <c r="M24" s="37">
        <v>5.3</v>
      </c>
      <c r="N24" s="30">
        <f t="shared" ref="N24" si="13">L24*M24</f>
        <v>344.5</v>
      </c>
      <c r="O24" t="s">
        <v>533</v>
      </c>
      <c r="P24">
        <f>B24/1.5</f>
        <v>43.333333333333336</v>
      </c>
      <c r="Q24">
        <f>P24/10</f>
        <v>4.3333333333333339</v>
      </c>
      <c r="R24">
        <f t="shared" si="2"/>
        <v>5</v>
      </c>
    </row>
    <row r="25" spans="1:18" x14ac:dyDescent="0.25">
      <c r="A25" s="52"/>
      <c r="B25" s="4"/>
      <c r="C25" s="52"/>
      <c r="D25" s="66"/>
      <c r="I25" s="37"/>
      <c r="J25" s="30"/>
      <c r="M25" s="37"/>
      <c r="N25" s="30"/>
    </row>
    <row r="26" spans="1:18" x14ac:dyDescent="0.25">
      <c r="A26" s="41" t="s">
        <v>203</v>
      </c>
      <c r="B26" s="54">
        <v>500</v>
      </c>
      <c r="C26" s="60"/>
      <c r="D26" s="60"/>
      <c r="I26" s="37">
        <f t="shared" ref="I26" si="14">(B27*(D27/100+1))</f>
        <v>0</v>
      </c>
      <c r="J26" s="30">
        <f>B26</f>
        <v>500</v>
      </c>
      <c r="M26" s="37"/>
      <c r="N26" s="30"/>
    </row>
    <row r="27" spans="1:18" x14ac:dyDescent="0.25">
      <c r="I27" s="37"/>
    </row>
    <row r="28" spans="1:18" x14ac:dyDescent="0.25">
      <c r="I28" s="37" t="s">
        <v>209</v>
      </c>
      <c r="J28" s="30">
        <f>SUM(J7:J26)</f>
        <v>5092.8100000000004</v>
      </c>
      <c r="M28" t="s">
        <v>209</v>
      </c>
      <c r="N28" s="30">
        <f>SUM(N7:N27)</f>
        <v>4350.2999999999993</v>
      </c>
    </row>
    <row r="29" spans="1:18" x14ac:dyDescent="0.25">
      <c r="A29" t="s">
        <v>153</v>
      </c>
      <c r="B29" s="30">
        <f>J28/((100-B30)/100)</f>
        <v>5092.8100000000004</v>
      </c>
      <c r="I29" s="37"/>
    </row>
    <row r="30" spans="1:18" x14ac:dyDescent="0.25">
      <c r="A30" t="s">
        <v>169</v>
      </c>
      <c r="B30">
        <v>0</v>
      </c>
      <c r="I30" s="37"/>
    </row>
    <row r="31" spans="1:18" x14ac:dyDescent="0.25">
      <c r="I31" s="37"/>
    </row>
    <row r="32" spans="1:18" x14ac:dyDescent="0.25">
      <c r="A32" t="s">
        <v>210</v>
      </c>
      <c r="B32" s="30">
        <f>N28*((100+B33)/100)</f>
        <v>4350.2999999999993</v>
      </c>
      <c r="I32" s="37"/>
    </row>
    <row r="33" spans="1:18" x14ac:dyDescent="0.25">
      <c r="A33" t="s">
        <v>154</v>
      </c>
      <c r="I33" s="37"/>
    </row>
    <row r="36" spans="1:18" x14ac:dyDescent="0.25">
      <c r="A36" s="1" t="s">
        <v>107</v>
      </c>
      <c r="B36" s="1" t="s">
        <v>79</v>
      </c>
      <c r="I36" s="37"/>
    </row>
    <row r="37" spans="1:18" x14ac:dyDescent="0.25">
      <c r="A37" s="1" t="s">
        <v>487</v>
      </c>
      <c r="B37" t="s">
        <v>644</v>
      </c>
      <c r="I37" s="37"/>
    </row>
    <row r="38" spans="1:18" x14ac:dyDescent="0.25">
      <c r="H38" s="1" t="s">
        <v>114</v>
      </c>
      <c r="I38" s="37"/>
      <c r="L38" s="1" t="s">
        <v>76</v>
      </c>
      <c r="P38" s="1" t="s">
        <v>144</v>
      </c>
    </row>
    <row r="39" spans="1:18" x14ac:dyDescent="0.25">
      <c r="B39" s="1" t="s">
        <v>196</v>
      </c>
      <c r="C39" s="1" t="s">
        <v>125</v>
      </c>
      <c r="D39" s="1" t="s">
        <v>221</v>
      </c>
      <c r="H39" t="s">
        <v>198</v>
      </c>
      <c r="I39" s="37" t="s">
        <v>126</v>
      </c>
      <c r="J39" t="s">
        <v>155</v>
      </c>
      <c r="L39" t="s">
        <v>198</v>
      </c>
      <c r="M39" t="s">
        <v>126</v>
      </c>
      <c r="N39" t="s">
        <v>155</v>
      </c>
      <c r="P39" t="s">
        <v>28</v>
      </c>
      <c r="Q39" t="s">
        <v>529</v>
      </c>
      <c r="R39" t="s">
        <v>530</v>
      </c>
    </row>
    <row r="40" spans="1:18" x14ac:dyDescent="0.25">
      <c r="A40" s="41" t="s">
        <v>523</v>
      </c>
      <c r="B40" s="53"/>
      <c r="C40" s="60"/>
      <c r="D40" s="60"/>
      <c r="E40" s="25"/>
      <c r="H40">
        <f>B40</f>
        <v>0</v>
      </c>
      <c r="I40" s="37">
        <f>(B41*(D41/100+1))+3</f>
        <v>3</v>
      </c>
      <c r="J40" s="30">
        <f>H40*I40</f>
        <v>0</v>
      </c>
      <c r="L40">
        <f>B40</f>
        <v>0</v>
      </c>
      <c r="M40" s="37">
        <v>38</v>
      </c>
      <c r="N40" s="30">
        <f>L40*M40</f>
        <v>0</v>
      </c>
      <c r="O40" t="s">
        <v>531</v>
      </c>
      <c r="P40">
        <f>B40*3</f>
        <v>0</v>
      </c>
      <c r="Q40">
        <f>P40/20</f>
        <v>0</v>
      </c>
      <c r="R40">
        <f>ROUNDUP(Q40,0)</f>
        <v>0</v>
      </c>
    </row>
    <row r="41" spans="1:18" x14ac:dyDescent="0.25">
      <c r="A41" s="41" t="s">
        <v>197</v>
      </c>
      <c r="B41" s="54"/>
      <c r="C41" s="41"/>
      <c r="D41" s="41">
        <v>10</v>
      </c>
      <c r="I41" s="37"/>
      <c r="J41" s="30">
        <f t="shared" ref="J41" si="15">H41*I41</f>
        <v>0</v>
      </c>
      <c r="M41" s="37"/>
      <c r="N41" s="30">
        <f t="shared" ref="N41:N55" si="16">L41*M41</f>
        <v>0</v>
      </c>
      <c r="R41">
        <f t="shared" ref="R41:R57" si="17">ROUNDUP(Q41,0)</f>
        <v>0</v>
      </c>
    </row>
    <row r="42" spans="1:18" x14ac:dyDescent="0.25">
      <c r="A42" s="52"/>
      <c r="B42" s="4"/>
      <c r="C42" s="52"/>
      <c r="D42" s="60"/>
      <c r="I42" s="37"/>
      <c r="J42" s="30"/>
      <c r="M42" s="37"/>
      <c r="N42" s="30">
        <f t="shared" si="16"/>
        <v>0</v>
      </c>
      <c r="R42">
        <f t="shared" si="17"/>
        <v>0</v>
      </c>
    </row>
    <row r="43" spans="1:18" x14ac:dyDescent="0.25">
      <c r="A43" s="41" t="s">
        <v>524</v>
      </c>
      <c r="B43" s="53">
        <v>17</v>
      </c>
      <c r="C43" s="60"/>
      <c r="D43" s="60"/>
      <c r="E43" s="25"/>
      <c r="H43">
        <f t="shared" ref="H43" si="18">B43</f>
        <v>17</v>
      </c>
      <c r="I43" s="37">
        <f t="shared" ref="I43" si="19">(B44*(D44/100+1))+3</f>
        <v>3</v>
      </c>
      <c r="J43" s="30">
        <f t="shared" ref="J43" si="20">H43*I43</f>
        <v>51</v>
      </c>
      <c r="L43">
        <f>B43</f>
        <v>17</v>
      </c>
      <c r="M43" s="37">
        <v>38</v>
      </c>
      <c r="N43" s="30">
        <f t="shared" si="16"/>
        <v>646</v>
      </c>
      <c r="O43" t="s">
        <v>531</v>
      </c>
      <c r="P43">
        <f>B43*3</f>
        <v>51</v>
      </c>
      <c r="Q43">
        <f t="shared" ref="Q43:Q46" si="21">P43/20</f>
        <v>2.5499999999999998</v>
      </c>
      <c r="R43">
        <f t="shared" si="17"/>
        <v>3</v>
      </c>
    </row>
    <row r="44" spans="1:18" x14ac:dyDescent="0.25">
      <c r="A44" s="41" t="s">
        <v>197</v>
      </c>
      <c r="B44" s="54"/>
      <c r="C44" s="41" t="s">
        <v>556</v>
      </c>
      <c r="D44" s="41">
        <v>10</v>
      </c>
      <c r="I44" s="37"/>
      <c r="J44" s="30"/>
      <c r="M44" s="37"/>
      <c r="N44" s="30">
        <f t="shared" si="16"/>
        <v>0</v>
      </c>
      <c r="R44">
        <f t="shared" si="17"/>
        <v>0</v>
      </c>
    </row>
    <row r="45" spans="1:18" x14ac:dyDescent="0.25">
      <c r="A45" s="52"/>
      <c r="B45" s="4"/>
      <c r="C45" s="52"/>
      <c r="D45" s="60"/>
      <c r="I45" s="37"/>
      <c r="J45" s="30"/>
      <c r="M45" s="37"/>
      <c r="N45" s="30">
        <f t="shared" si="16"/>
        <v>0</v>
      </c>
      <c r="R45">
        <f t="shared" si="17"/>
        <v>0</v>
      </c>
    </row>
    <row r="46" spans="1:18" x14ac:dyDescent="0.25">
      <c r="A46" s="41" t="s">
        <v>535</v>
      </c>
      <c r="B46" s="53"/>
      <c r="C46" s="60"/>
      <c r="D46" s="60"/>
      <c r="E46" s="25" t="s">
        <v>528</v>
      </c>
      <c r="H46">
        <f>B46</f>
        <v>0</v>
      </c>
      <c r="I46" s="37">
        <f>(B47*(D47/100+1))</f>
        <v>0</v>
      </c>
      <c r="J46" s="30">
        <f t="shared" ref="J46" si="22">H46*I46</f>
        <v>0</v>
      </c>
      <c r="L46">
        <f>B46</f>
        <v>0</v>
      </c>
      <c r="M46" s="37">
        <v>75</v>
      </c>
      <c r="N46" s="30">
        <f t="shared" si="16"/>
        <v>0</v>
      </c>
      <c r="O46" t="s">
        <v>531</v>
      </c>
      <c r="P46">
        <f>B46*3</f>
        <v>0</v>
      </c>
      <c r="Q46">
        <f t="shared" si="21"/>
        <v>0</v>
      </c>
      <c r="R46">
        <f t="shared" si="17"/>
        <v>0</v>
      </c>
    </row>
    <row r="47" spans="1:18" x14ac:dyDescent="0.25">
      <c r="A47" s="41" t="s">
        <v>197</v>
      </c>
      <c r="B47" s="54"/>
      <c r="C47" s="41"/>
      <c r="D47" s="41">
        <v>10</v>
      </c>
      <c r="I47" s="37"/>
      <c r="J47" s="30"/>
      <c r="M47" s="37"/>
      <c r="N47" s="30">
        <f t="shared" si="16"/>
        <v>0</v>
      </c>
      <c r="R47">
        <f t="shared" si="17"/>
        <v>0</v>
      </c>
    </row>
    <row r="48" spans="1:18" x14ac:dyDescent="0.25">
      <c r="A48" s="52"/>
      <c r="B48" s="4"/>
      <c r="C48" s="52"/>
      <c r="D48" s="60"/>
      <c r="I48" s="37"/>
      <c r="J48" s="30"/>
      <c r="M48" s="37"/>
      <c r="N48" s="30">
        <f t="shared" si="16"/>
        <v>0</v>
      </c>
      <c r="R48">
        <f t="shared" si="17"/>
        <v>0</v>
      </c>
    </row>
    <row r="49" spans="1:18" x14ac:dyDescent="0.25">
      <c r="A49" s="41" t="s">
        <v>525</v>
      </c>
      <c r="B49" s="53">
        <v>17</v>
      </c>
      <c r="C49" s="60"/>
      <c r="D49" s="60"/>
      <c r="H49">
        <v>1</v>
      </c>
      <c r="I49" s="37">
        <f>B49*1.8*7.14</f>
        <v>218.48400000000001</v>
      </c>
      <c r="J49" s="30">
        <f t="shared" ref="J49" si="23">H49*I49</f>
        <v>218.48400000000001</v>
      </c>
      <c r="L49">
        <f>B49</f>
        <v>17</v>
      </c>
      <c r="M49" s="37">
        <v>14.04</v>
      </c>
      <c r="N49" s="30">
        <f t="shared" si="16"/>
        <v>238.67999999999998</v>
      </c>
      <c r="O49" t="s">
        <v>391</v>
      </c>
      <c r="P49">
        <f>B49*1.8</f>
        <v>30.6</v>
      </c>
      <c r="Q49">
        <f>P49/15</f>
        <v>2.04</v>
      </c>
      <c r="R49">
        <f t="shared" si="17"/>
        <v>3</v>
      </c>
    </row>
    <row r="50" spans="1:18" x14ac:dyDescent="0.25">
      <c r="A50" s="52"/>
      <c r="B50" s="4"/>
      <c r="C50" s="52"/>
      <c r="D50" s="60"/>
      <c r="I50" s="37"/>
      <c r="M50" s="37"/>
      <c r="N50" s="30">
        <f t="shared" si="16"/>
        <v>0</v>
      </c>
      <c r="R50">
        <f t="shared" si="17"/>
        <v>0</v>
      </c>
    </row>
    <row r="51" spans="1:18" x14ac:dyDescent="0.25">
      <c r="A51" s="41" t="s">
        <v>526</v>
      </c>
      <c r="B51" s="53"/>
      <c r="C51" s="60"/>
      <c r="D51" s="60"/>
      <c r="H51">
        <f>B51</f>
        <v>0</v>
      </c>
      <c r="I51" s="37">
        <v>0.51</v>
      </c>
      <c r="J51" s="30">
        <f>H51*I51*1.1</f>
        <v>0</v>
      </c>
      <c r="L51">
        <f t="shared" ref="L51" si="24">B51</f>
        <v>0</v>
      </c>
      <c r="M51" s="37">
        <v>2.8</v>
      </c>
      <c r="N51" s="30">
        <f t="shared" si="16"/>
        <v>0</v>
      </c>
      <c r="O51" t="s">
        <v>534</v>
      </c>
      <c r="P51">
        <f>B51</f>
        <v>0</v>
      </c>
      <c r="Q51">
        <f>P51/40</f>
        <v>0</v>
      </c>
      <c r="R51">
        <f t="shared" si="17"/>
        <v>0</v>
      </c>
    </row>
    <row r="52" spans="1:18" x14ac:dyDescent="0.25">
      <c r="A52" s="52"/>
      <c r="B52" s="4"/>
      <c r="C52" s="52"/>
      <c r="D52" s="65"/>
      <c r="I52" s="37"/>
      <c r="J52" s="30"/>
      <c r="M52" s="37"/>
      <c r="N52" s="30">
        <f t="shared" si="16"/>
        <v>0</v>
      </c>
      <c r="R52">
        <f t="shared" si="17"/>
        <v>0</v>
      </c>
    </row>
    <row r="53" spans="1:18" x14ac:dyDescent="0.25">
      <c r="A53" s="41" t="s">
        <v>396</v>
      </c>
      <c r="B53" s="17"/>
      <c r="C53" s="60"/>
      <c r="D53" s="60"/>
      <c r="H53">
        <f>B53</f>
        <v>0</v>
      </c>
      <c r="I53" s="37">
        <f>10.35</f>
        <v>10.35</v>
      </c>
      <c r="J53" s="30">
        <f>H53*I53</f>
        <v>0</v>
      </c>
      <c r="L53">
        <f t="shared" ref="L53" si="25">B53</f>
        <v>0</v>
      </c>
      <c r="M53" s="37">
        <v>4.4000000000000004</v>
      </c>
      <c r="N53" s="30">
        <f t="shared" si="16"/>
        <v>0</v>
      </c>
      <c r="O53" t="s">
        <v>396</v>
      </c>
      <c r="Q53">
        <f>B53</f>
        <v>0</v>
      </c>
      <c r="R53">
        <f t="shared" si="17"/>
        <v>0</v>
      </c>
    </row>
    <row r="54" spans="1:18" x14ac:dyDescent="0.25">
      <c r="A54" s="52"/>
      <c r="B54" s="4"/>
      <c r="C54" s="52"/>
      <c r="D54" s="52"/>
      <c r="I54" s="37"/>
      <c r="J54" s="30"/>
      <c r="M54" s="37"/>
      <c r="N54" s="30">
        <f t="shared" si="16"/>
        <v>0</v>
      </c>
      <c r="R54">
        <f t="shared" si="17"/>
        <v>0</v>
      </c>
    </row>
    <row r="55" spans="1:18" x14ac:dyDescent="0.25">
      <c r="A55" s="41" t="s">
        <v>527</v>
      </c>
      <c r="B55" s="17"/>
      <c r="C55" s="60"/>
      <c r="D55" s="60"/>
      <c r="E55" s="25"/>
      <c r="H55">
        <f>B55</f>
        <v>0</v>
      </c>
      <c r="I55" s="37">
        <v>10.42</v>
      </c>
      <c r="J55" s="30">
        <f t="shared" ref="J55" si="26">H55*I55</f>
        <v>0</v>
      </c>
      <c r="L55">
        <f>B55</f>
        <v>0</v>
      </c>
      <c r="M55" s="37">
        <v>2.8</v>
      </c>
      <c r="N55" s="30">
        <f t="shared" si="16"/>
        <v>0</v>
      </c>
      <c r="O55" t="s">
        <v>527</v>
      </c>
      <c r="Q55">
        <f>B55</f>
        <v>0</v>
      </c>
      <c r="R55">
        <f t="shared" si="17"/>
        <v>0</v>
      </c>
    </row>
    <row r="56" spans="1:18" x14ac:dyDescent="0.25">
      <c r="A56" s="52"/>
      <c r="B56" s="4"/>
      <c r="C56" s="52"/>
      <c r="D56" s="66"/>
      <c r="I56" s="37"/>
      <c r="J56" s="30"/>
      <c r="M56" s="37"/>
      <c r="N56" s="30"/>
    </row>
    <row r="57" spans="1:18" x14ac:dyDescent="0.25">
      <c r="A57" s="41" t="s">
        <v>532</v>
      </c>
      <c r="B57" s="17">
        <v>20</v>
      </c>
      <c r="C57" s="60"/>
      <c r="D57" s="60"/>
      <c r="E57" s="25"/>
      <c r="H57">
        <f>B57</f>
        <v>20</v>
      </c>
      <c r="I57" s="37">
        <v>3.17</v>
      </c>
      <c r="J57" s="30">
        <f t="shared" ref="J57" si="27">H57*I57</f>
        <v>63.4</v>
      </c>
      <c r="L57">
        <f>B57</f>
        <v>20</v>
      </c>
      <c r="M57" s="37">
        <v>5.3</v>
      </c>
      <c r="N57" s="30">
        <f t="shared" ref="N57" si="28">L57*M57</f>
        <v>106</v>
      </c>
      <c r="O57" t="s">
        <v>533</v>
      </c>
      <c r="P57">
        <f>B57/1.5</f>
        <v>13.333333333333334</v>
      </c>
      <c r="Q57">
        <f>P57/10</f>
        <v>1.3333333333333335</v>
      </c>
      <c r="R57">
        <f t="shared" si="17"/>
        <v>2</v>
      </c>
    </row>
    <row r="58" spans="1:18" x14ac:dyDescent="0.25">
      <c r="A58" s="52"/>
      <c r="B58" s="4"/>
      <c r="C58" s="52"/>
      <c r="D58" s="66"/>
      <c r="I58" s="37"/>
      <c r="J58" s="30"/>
      <c r="M58" s="37"/>
      <c r="N58" s="30"/>
    </row>
    <row r="59" spans="1:18" x14ac:dyDescent="0.25">
      <c r="A59" s="41" t="s">
        <v>203</v>
      </c>
      <c r="B59" s="54">
        <v>350</v>
      </c>
      <c r="C59" s="60"/>
      <c r="D59" s="60"/>
      <c r="I59" s="37">
        <f t="shared" ref="I59" si="29">(B60*(D60/100+1))</f>
        <v>0</v>
      </c>
      <c r="J59" s="30">
        <f>B59</f>
        <v>350</v>
      </c>
      <c r="M59" s="37"/>
      <c r="N59" s="30"/>
    </row>
    <row r="60" spans="1:18" x14ac:dyDescent="0.25">
      <c r="I60" s="37"/>
    </row>
    <row r="61" spans="1:18" x14ac:dyDescent="0.25">
      <c r="I61" s="37" t="s">
        <v>209</v>
      </c>
      <c r="J61" s="30">
        <f>SUM(J40:J59)</f>
        <v>682.88400000000001</v>
      </c>
      <c r="M61" t="s">
        <v>209</v>
      </c>
      <c r="N61" s="30">
        <f>SUM(N40:N60)</f>
        <v>990.68</v>
      </c>
    </row>
    <row r="62" spans="1:18" x14ac:dyDescent="0.25">
      <c r="A62" t="s">
        <v>153</v>
      </c>
      <c r="B62" s="30">
        <f>J61/((100-B63)/100)</f>
        <v>682.88400000000001</v>
      </c>
      <c r="I62" s="37"/>
    </row>
    <row r="63" spans="1:18" x14ac:dyDescent="0.25">
      <c r="A63" t="s">
        <v>169</v>
      </c>
      <c r="B63">
        <v>0</v>
      </c>
      <c r="I63" s="37"/>
    </row>
    <row r="64" spans="1:18" x14ac:dyDescent="0.25">
      <c r="I64" s="37"/>
    </row>
    <row r="65" spans="1:18" x14ac:dyDescent="0.25">
      <c r="A65" t="s">
        <v>210</v>
      </c>
      <c r="B65" s="30">
        <f>N61*((100+B66)/100)</f>
        <v>1188.8159999999998</v>
      </c>
      <c r="I65" s="37"/>
    </row>
    <row r="66" spans="1:18" x14ac:dyDescent="0.25">
      <c r="A66" t="s">
        <v>154</v>
      </c>
      <c r="B66">
        <v>20</v>
      </c>
      <c r="I66" s="37"/>
    </row>
    <row r="69" spans="1:18" x14ac:dyDescent="0.25">
      <c r="A69" s="1" t="s">
        <v>108</v>
      </c>
      <c r="B69" s="1" t="s">
        <v>79</v>
      </c>
      <c r="I69" s="37"/>
    </row>
    <row r="70" spans="1:18" x14ac:dyDescent="0.25">
      <c r="A70" s="1" t="s">
        <v>487</v>
      </c>
      <c r="B70" t="s">
        <v>584</v>
      </c>
      <c r="I70" s="37"/>
    </row>
    <row r="71" spans="1:18" x14ac:dyDescent="0.25">
      <c r="H71" s="1" t="s">
        <v>114</v>
      </c>
      <c r="I71" s="37"/>
      <c r="L71" s="1" t="s">
        <v>76</v>
      </c>
      <c r="P71" s="1" t="s">
        <v>144</v>
      </c>
    </row>
    <row r="72" spans="1:18" x14ac:dyDescent="0.25">
      <c r="B72" s="1" t="s">
        <v>196</v>
      </c>
      <c r="C72" s="1" t="s">
        <v>125</v>
      </c>
      <c r="D72" s="1" t="s">
        <v>221</v>
      </c>
      <c r="H72" t="s">
        <v>198</v>
      </c>
      <c r="I72" s="37" t="s">
        <v>126</v>
      </c>
      <c r="J72" t="s">
        <v>155</v>
      </c>
      <c r="L72" t="s">
        <v>198</v>
      </c>
      <c r="M72" t="s">
        <v>126</v>
      </c>
      <c r="N72" t="s">
        <v>155</v>
      </c>
      <c r="P72" t="s">
        <v>28</v>
      </c>
      <c r="Q72" t="s">
        <v>529</v>
      </c>
      <c r="R72" t="s">
        <v>530</v>
      </c>
    </row>
    <row r="73" spans="1:18" x14ac:dyDescent="0.25">
      <c r="A73" s="41" t="s">
        <v>523</v>
      </c>
      <c r="B73" s="53"/>
      <c r="C73" s="60"/>
      <c r="D73" s="60"/>
      <c r="E73" s="25"/>
      <c r="H73">
        <f>B73</f>
        <v>0</v>
      </c>
      <c r="I73" s="37">
        <f>(B74*(D74/100+1))+3</f>
        <v>3</v>
      </c>
      <c r="J73" s="30">
        <f>H73*I73</f>
        <v>0</v>
      </c>
      <c r="L73">
        <f>B73</f>
        <v>0</v>
      </c>
      <c r="M73" s="37">
        <v>38</v>
      </c>
      <c r="N73" s="30">
        <f>L73*M73</f>
        <v>0</v>
      </c>
      <c r="O73" t="s">
        <v>531</v>
      </c>
      <c r="P73">
        <f>B73*3</f>
        <v>0</v>
      </c>
      <c r="Q73">
        <f>P73/20</f>
        <v>0</v>
      </c>
      <c r="R73">
        <f>ROUNDUP(Q73,0)</f>
        <v>0</v>
      </c>
    </row>
    <row r="74" spans="1:18" x14ac:dyDescent="0.25">
      <c r="A74" s="41" t="s">
        <v>197</v>
      </c>
      <c r="B74" s="54"/>
      <c r="C74" s="41"/>
      <c r="D74" s="41">
        <v>10</v>
      </c>
      <c r="I74" s="37"/>
      <c r="J74" s="30">
        <f t="shared" ref="J74" si="30">H74*I74</f>
        <v>0</v>
      </c>
      <c r="M74" s="37"/>
      <c r="N74" s="30">
        <f t="shared" ref="N74:N88" si="31">L74*M74</f>
        <v>0</v>
      </c>
      <c r="R74">
        <f t="shared" ref="R74:R90" si="32">ROUNDUP(Q74,0)</f>
        <v>0</v>
      </c>
    </row>
    <row r="75" spans="1:18" x14ac:dyDescent="0.25">
      <c r="A75" s="52"/>
      <c r="B75" s="4"/>
      <c r="C75" s="52"/>
      <c r="D75" s="60"/>
      <c r="I75" s="37"/>
      <c r="J75" s="30"/>
      <c r="M75" s="37"/>
      <c r="N75" s="30">
        <f t="shared" si="31"/>
        <v>0</v>
      </c>
      <c r="R75">
        <f t="shared" si="32"/>
        <v>0</v>
      </c>
    </row>
    <row r="76" spans="1:18" x14ac:dyDescent="0.25">
      <c r="A76" s="41" t="s">
        <v>524</v>
      </c>
      <c r="B76" s="53"/>
      <c r="C76" s="60"/>
      <c r="D76" s="60"/>
      <c r="E76" s="25"/>
      <c r="H76">
        <f t="shared" ref="H76" si="33">B76</f>
        <v>0</v>
      </c>
      <c r="I76" s="37">
        <f t="shared" ref="I76" si="34">(B77*(D77/100+1))+3</f>
        <v>3</v>
      </c>
      <c r="J76" s="30">
        <f t="shared" ref="J76" si="35">H76*I76</f>
        <v>0</v>
      </c>
      <c r="L76">
        <f>B76</f>
        <v>0</v>
      </c>
      <c r="M76" s="37">
        <v>38</v>
      </c>
      <c r="N76" s="30">
        <f t="shared" si="31"/>
        <v>0</v>
      </c>
      <c r="O76" t="s">
        <v>531</v>
      </c>
      <c r="P76">
        <f>B76*3</f>
        <v>0</v>
      </c>
      <c r="Q76">
        <f t="shared" ref="Q76:Q79" si="36">P76/20</f>
        <v>0</v>
      </c>
      <c r="R76">
        <f t="shared" si="32"/>
        <v>0</v>
      </c>
    </row>
    <row r="77" spans="1:18" x14ac:dyDescent="0.25">
      <c r="A77" s="41" t="s">
        <v>197</v>
      </c>
      <c r="B77" s="54"/>
      <c r="C77" s="41"/>
      <c r="D77" s="41">
        <v>10</v>
      </c>
      <c r="I77" s="37"/>
      <c r="J77" s="30"/>
      <c r="M77" s="37"/>
      <c r="N77" s="30">
        <f t="shared" si="31"/>
        <v>0</v>
      </c>
      <c r="R77">
        <f t="shared" si="32"/>
        <v>0</v>
      </c>
    </row>
    <row r="78" spans="1:18" x14ac:dyDescent="0.25">
      <c r="A78" s="52"/>
      <c r="B78" s="4"/>
      <c r="C78" s="52"/>
      <c r="D78" s="60"/>
      <c r="I78" s="37"/>
      <c r="J78" s="30"/>
      <c r="M78" s="37"/>
      <c r="N78" s="30">
        <f t="shared" si="31"/>
        <v>0</v>
      </c>
      <c r="R78">
        <f t="shared" si="32"/>
        <v>0</v>
      </c>
    </row>
    <row r="79" spans="1:18" x14ac:dyDescent="0.25">
      <c r="A79" s="41" t="s">
        <v>535</v>
      </c>
      <c r="B79" s="53"/>
      <c r="C79" s="60"/>
      <c r="D79" s="60"/>
      <c r="E79" s="25" t="s">
        <v>528</v>
      </c>
      <c r="H79">
        <f>B79</f>
        <v>0</v>
      </c>
      <c r="I79" s="37">
        <f>(B80*(D80/100+1))</f>
        <v>0</v>
      </c>
      <c r="J79" s="30">
        <f t="shared" ref="J79" si="37">H79*I79</f>
        <v>0</v>
      </c>
      <c r="L79">
        <f>B79</f>
        <v>0</v>
      </c>
      <c r="M79" s="37">
        <v>75</v>
      </c>
      <c r="N79" s="30">
        <f t="shared" si="31"/>
        <v>0</v>
      </c>
      <c r="O79" t="s">
        <v>531</v>
      </c>
      <c r="P79">
        <f>B79*3</f>
        <v>0</v>
      </c>
      <c r="Q79">
        <f t="shared" si="36"/>
        <v>0</v>
      </c>
      <c r="R79">
        <f t="shared" si="32"/>
        <v>0</v>
      </c>
    </row>
    <row r="80" spans="1:18" x14ac:dyDescent="0.25">
      <c r="A80" s="41" t="s">
        <v>197</v>
      </c>
      <c r="B80" s="54"/>
      <c r="C80" s="41"/>
      <c r="D80" s="41">
        <v>10</v>
      </c>
      <c r="I80" s="37"/>
      <c r="J80" s="30"/>
      <c r="M80" s="37"/>
      <c r="N80" s="30">
        <f t="shared" si="31"/>
        <v>0</v>
      </c>
      <c r="R80">
        <f t="shared" si="32"/>
        <v>0</v>
      </c>
    </row>
    <row r="81" spans="1:18" x14ac:dyDescent="0.25">
      <c r="A81" s="52"/>
      <c r="B81" s="4"/>
      <c r="C81" s="52"/>
      <c r="D81" s="60"/>
      <c r="I81" s="37"/>
      <c r="J81" s="30"/>
      <c r="M81" s="37"/>
      <c r="N81" s="30">
        <f t="shared" si="31"/>
        <v>0</v>
      </c>
      <c r="R81">
        <f t="shared" si="32"/>
        <v>0</v>
      </c>
    </row>
    <row r="82" spans="1:18" x14ac:dyDescent="0.25">
      <c r="A82" s="41" t="s">
        <v>525</v>
      </c>
      <c r="B82" s="53"/>
      <c r="C82" s="60"/>
      <c r="D82" s="60"/>
      <c r="H82">
        <v>1</v>
      </c>
      <c r="I82" s="37">
        <f>B82*1.8*7.14</f>
        <v>0</v>
      </c>
      <c r="J82" s="30">
        <f t="shared" ref="J82" si="38">H82*I82</f>
        <v>0</v>
      </c>
      <c r="L82">
        <f>B82</f>
        <v>0</v>
      </c>
      <c r="M82" s="37">
        <v>14.04</v>
      </c>
      <c r="N82" s="30">
        <f t="shared" si="31"/>
        <v>0</v>
      </c>
      <c r="O82" t="s">
        <v>391</v>
      </c>
      <c r="P82">
        <f>B82*1.8</f>
        <v>0</v>
      </c>
      <c r="Q82">
        <f>P82/15</f>
        <v>0</v>
      </c>
      <c r="R82">
        <f t="shared" si="32"/>
        <v>0</v>
      </c>
    </row>
    <row r="83" spans="1:18" x14ac:dyDescent="0.25">
      <c r="A83" s="52"/>
      <c r="B83" s="4"/>
      <c r="C83" s="52"/>
      <c r="D83" s="60"/>
      <c r="I83" s="37"/>
      <c r="M83" s="37"/>
      <c r="N83" s="30">
        <f t="shared" si="31"/>
        <v>0</v>
      </c>
      <c r="R83">
        <f t="shared" si="32"/>
        <v>0</v>
      </c>
    </row>
    <row r="84" spans="1:18" x14ac:dyDescent="0.25">
      <c r="A84" s="41" t="s">
        <v>526</v>
      </c>
      <c r="B84" s="53"/>
      <c r="C84" s="60"/>
      <c r="D84" s="60"/>
      <c r="H84">
        <f>B84</f>
        <v>0</v>
      </c>
      <c r="I84" s="37">
        <v>0.51</v>
      </c>
      <c r="J84" s="30">
        <f>H84*I84*1.1</f>
        <v>0</v>
      </c>
      <c r="L84">
        <f t="shared" ref="L84" si="39">B84</f>
        <v>0</v>
      </c>
      <c r="M84" s="37">
        <v>2.8</v>
      </c>
      <c r="N84" s="30">
        <f t="shared" si="31"/>
        <v>0</v>
      </c>
      <c r="O84" t="s">
        <v>534</v>
      </c>
      <c r="P84">
        <f>B84</f>
        <v>0</v>
      </c>
      <c r="Q84">
        <f>P84/40</f>
        <v>0</v>
      </c>
      <c r="R84">
        <f t="shared" si="32"/>
        <v>0</v>
      </c>
    </row>
    <row r="85" spans="1:18" x14ac:dyDescent="0.25">
      <c r="A85" s="52"/>
      <c r="B85" s="4"/>
      <c r="C85" s="52"/>
      <c r="D85" s="65"/>
      <c r="I85" s="37"/>
      <c r="J85" s="30"/>
      <c r="M85" s="37"/>
      <c r="N85" s="30">
        <f t="shared" si="31"/>
        <v>0</v>
      </c>
      <c r="R85">
        <f t="shared" si="32"/>
        <v>0</v>
      </c>
    </row>
    <row r="86" spans="1:18" x14ac:dyDescent="0.25">
      <c r="A86" s="41" t="s">
        <v>396</v>
      </c>
      <c r="B86" s="17"/>
      <c r="C86" s="60"/>
      <c r="D86" s="60"/>
      <c r="H86">
        <f>B86</f>
        <v>0</v>
      </c>
      <c r="I86" s="37">
        <f>10.35</f>
        <v>10.35</v>
      </c>
      <c r="J86" s="30">
        <f>H86*I86</f>
        <v>0</v>
      </c>
      <c r="L86">
        <f t="shared" ref="L86" si="40">B86</f>
        <v>0</v>
      </c>
      <c r="M86" s="37">
        <v>4.4000000000000004</v>
      </c>
      <c r="N86" s="30">
        <f t="shared" si="31"/>
        <v>0</v>
      </c>
      <c r="O86" t="s">
        <v>396</v>
      </c>
      <c r="Q86">
        <f>B86</f>
        <v>0</v>
      </c>
      <c r="R86">
        <f t="shared" si="32"/>
        <v>0</v>
      </c>
    </row>
    <row r="87" spans="1:18" x14ac:dyDescent="0.25">
      <c r="A87" s="52"/>
      <c r="B87" s="4"/>
      <c r="C87" s="52"/>
      <c r="D87" s="52"/>
      <c r="I87" s="37"/>
      <c r="J87" s="30"/>
      <c r="M87" s="37"/>
      <c r="N87" s="30">
        <f t="shared" si="31"/>
        <v>0</v>
      </c>
      <c r="R87">
        <f t="shared" si="32"/>
        <v>0</v>
      </c>
    </row>
    <row r="88" spans="1:18" x14ac:dyDescent="0.25">
      <c r="A88" s="41" t="s">
        <v>527</v>
      </c>
      <c r="B88" s="17"/>
      <c r="C88" s="60"/>
      <c r="D88" s="60"/>
      <c r="E88" s="25"/>
      <c r="H88">
        <f>B88</f>
        <v>0</v>
      </c>
      <c r="I88" s="37">
        <v>10.42</v>
      </c>
      <c r="J88" s="30">
        <f t="shared" ref="J88" si="41">H88*I88</f>
        <v>0</v>
      </c>
      <c r="L88">
        <f>B88</f>
        <v>0</v>
      </c>
      <c r="M88" s="37">
        <v>2.8</v>
      </c>
      <c r="N88" s="30">
        <f t="shared" si="31"/>
        <v>0</v>
      </c>
      <c r="O88" t="s">
        <v>527</v>
      </c>
      <c r="Q88">
        <f>B88</f>
        <v>0</v>
      </c>
      <c r="R88">
        <f t="shared" si="32"/>
        <v>0</v>
      </c>
    </row>
    <row r="89" spans="1:18" x14ac:dyDescent="0.25">
      <c r="A89" s="52"/>
      <c r="B89" s="4"/>
      <c r="C89" s="52"/>
      <c r="D89" s="66"/>
      <c r="I89" s="37"/>
      <c r="J89" s="30"/>
      <c r="M89" s="37"/>
      <c r="N89" s="30"/>
    </row>
    <row r="90" spans="1:18" x14ac:dyDescent="0.25">
      <c r="A90" s="41" t="s">
        <v>532</v>
      </c>
      <c r="B90" s="17"/>
      <c r="C90" s="60"/>
      <c r="D90" s="60"/>
      <c r="E90" s="25"/>
      <c r="H90">
        <f>B90</f>
        <v>0</v>
      </c>
      <c r="I90" s="37">
        <v>3.17</v>
      </c>
      <c r="J90" s="30">
        <f t="shared" ref="J90" si="42">H90*I90</f>
        <v>0</v>
      </c>
      <c r="L90">
        <f>B90</f>
        <v>0</v>
      </c>
      <c r="M90" s="37">
        <v>5.3</v>
      </c>
      <c r="N90" s="30">
        <f t="shared" ref="N90" si="43">L90*M90</f>
        <v>0</v>
      </c>
      <c r="O90" t="s">
        <v>533</v>
      </c>
      <c r="P90">
        <f>B90/1.5</f>
        <v>0</v>
      </c>
      <c r="Q90">
        <f>P90/10</f>
        <v>0</v>
      </c>
      <c r="R90">
        <f t="shared" si="32"/>
        <v>0</v>
      </c>
    </row>
    <row r="91" spans="1:18" x14ac:dyDescent="0.25">
      <c r="A91" s="52"/>
      <c r="B91" s="4"/>
      <c r="C91" s="52"/>
      <c r="D91" s="66"/>
      <c r="I91" s="37"/>
      <c r="J91" s="30"/>
      <c r="M91" s="37"/>
      <c r="N91" s="30"/>
    </row>
    <row r="92" spans="1:18" x14ac:dyDescent="0.25">
      <c r="A92" s="41" t="s">
        <v>203</v>
      </c>
      <c r="B92" s="54"/>
      <c r="C92" s="60"/>
      <c r="D92" s="60"/>
      <c r="I92" s="37">
        <f t="shared" ref="I92" si="44">(B93*(D93/100+1))</f>
        <v>0</v>
      </c>
      <c r="J92" s="30">
        <f>B92</f>
        <v>0</v>
      </c>
      <c r="M92" s="37"/>
      <c r="N92" s="30"/>
    </row>
    <row r="93" spans="1:18" x14ac:dyDescent="0.25">
      <c r="I93" s="37"/>
    </row>
    <row r="94" spans="1:18" x14ac:dyDescent="0.25">
      <c r="I94" s="37" t="s">
        <v>209</v>
      </c>
      <c r="J94" s="30">
        <f>SUM(J73:J92)</f>
        <v>0</v>
      </c>
      <c r="M94" t="s">
        <v>209</v>
      </c>
      <c r="N94" s="30">
        <f>SUM(N73:N93)</f>
        <v>0</v>
      </c>
    </row>
    <row r="95" spans="1:18" x14ac:dyDescent="0.25">
      <c r="A95" t="s">
        <v>153</v>
      </c>
      <c r="B95" s="30">
        <f>J94/((100-B96)/100)</f>
        <v>0</v>
      </c>
      <c r="I95" s="37"/>
    </row>
    <row r="96" spans="1:18" x14ac:dyDescent="0.25">
      <c r="A96" t="s">
        <v>169</v>
      </c>
      <c r="B96">
        <v>0</v>
      </c>
      <c r="I96" s="37"/>
    </row>
    <row r="97" spans="1:18" x14ac:dyDescent="0.25">
      <c r="I97" s="37"/>
    </row>
    <row r="98" spans="1:18" x14ac:dyDescent="0.25">
      <c r="A98" t="s">
        <v>210</v>
      </c>
      <c r="B98" s="30">
        <f>N94*((100+B99)/100)</f>
        <v>0</v>
      </c>
      <c r="I98" s="37"/>
    </row>
    <row r="99" spans="1:18" x14ac:dyDescent="0.25">
      <c r="A99" t="s">
        <v>154</v>
      </c>
      <c r="B99">
        <v>0</v>
      </c>
      <c r="I99" s="37"/>
    </row>
    <row r="102" spans="1:18" x14ac:dyDescent="0.25">
      <c r="A102" s="1" t="s">
        <v>109</v>
      </c>
      <c r="B102" s="1" t="s">
        <v>79</v>
      </c>
      <c r="I102" s="37"/>
    </row>
    <row r="103" spans="1:18" x14ac:dyDescent="0.25">
      <c r="A103" s="1" t="s">
        <v>487</v>
      </c>
      <c r="I103" s="37"/>
    </row>
    <row r="104" spans="1:18" x14ac:dyDescent="0.25">
      <c r="H104" s="1" t="s">
        <v>114</v>
      </c>
      <c r="I104" s="37"/>
      <c r="L104" s="1" t="s">
        <v>76</v>
      </c>
      <c r="P104" s="1" t="s">
        <v>144</v>
      </c>
    </row>
    <row r="105" spans="1:18" x14ac:dyDescent="0.25">
      <c r="B105" s="1" t="s">
        <v>196</v>
      </c>
      <c r="C105" s="1" t="s">
        <v>125</v>
      </c>
      <c r="D105" s="1" t="s">
        <v>221</v>
      </c>
      <c r="H105" t="s">
        <v>198</v>
      </c>
      <c r="I105" s="37" t="s">
        <v>126</v>
      </c>
      <c r="J105" t="s">
        <v>155</v>
      </c>
      <c r="L105" t="s">
        <v>198</v>
      </c>
      <c r="M105" t="s">
        <v>126</v>
      </c>
      <c r="N105" t="s">
        <v>155</v>
      </c>
      <c r="P105" t="s">
        <v>28</v>
      </c>
      <c r="Q105" t="s">
        <v>529</v>
      </c>
      <c r="R105" t="s">
        <v>530</v>
      </c>
    </row>
    <row r="106" spans="1:18" x14ac:dyDescent="0.25">
      <c r="A106" s="41" t="s">
        <v>523</v>
      </c>
      <c r="B106" s="53"/>
      <c r="C106" s="60"/>
      <c r="D106" s="60"/>
      <c r="E106" s="25"/>
      <c r="H106">
        <f>B106</f>
        <v>0</v>
      </c>
      <c r="I106" s="37">
        <f>(B107*(D107/100+1))+3</f>
        <v>3</v>
      </c>
      <c r="J106" s="30">
        <f>H106*I106</f>
        <v>0</v>
      </c>
      <c r="L106">
        <f>B106</f>
        <v>0</v>
      </c>
      <c r="M106" s="37">
        <v>38</v>
      </c>
      <c r="N106" s="30">
        <f>L106*M106</f>
        <v>0</v>
      </c>
      <c r="O106" t="s">
        <v>531</v>
      </c>
      <c r="P106">
        <f>B106*3</f>
        <v>0</v>
      </c>
      <c r="Q106">
        <f>P106/20</f>
        <v>0</v>
      </c>
      <c r="R106">
        <f>ROUNDUP(Q106,0)</f>
        <v>0</v>
      </c>
    </row>
    <row r="107" spans="1:18" x14ac:dyDescent="0.25">
      <c r="A107" s="41" t="s">
        <v>197</v>
      </c>
      <c r="B107" s="54"/>
      <c r="C107" s="41"/>
      <c r="D107" s="41">
        <v>10</v>
      </c>
      <c r="I107" s="37"/>
      <c r="J107" s="30">
        <f t="shared" ref="J107" si="45">H107*I107</f>
        <v>0</v>
      </c>
      <c r="M107" s="37"/>
      <c r="N107" s="30">
        <f t="shared" ref="N107:N121" si="46">L107*M107</f>
        <v>0</v>
      </c>
      <c r="R107">
        <f t="shared" ref="R107:R123" si="47">ROUNDUP(Q107,0)</f>
        <v>0</v>
      </c>
    </row>
    <row r="108" spans="1:18" x14ac:dyDescent="0.25">
      <c r="A108" s="52"/>
      <c r="B108" s="4"/>
      <c r="C108" s="52"/>
      <c r="D108" s="60"/>
      <c r="I108" s="37"/>
      <c r="J108" s="30"/>
      <c r="M108" s="37"/>
      <c r="N108" s="30">
        <f t="shared" si="46"/>
        <v>0</v>
      </c>
      <c r="R108">
        <f t="shared" si="47"/>
        <v>0</v>
      </c>
    </row>
    <row r="109" spans="1:18" x14ac:dyDescent="0.25">
      <c r="A109" s="41" t="s">
        <v>524</v>
      </c>
      <c r="B109" s="53"/>
      <c r="C109" s="60"/>
      <c r="D109" s="60"/>
      <c r="E109" s="25"/>
      <c r="H109">
        <f t="shared" ref="H109" si="48">B109</f>
        <v>0</v>
      </c>
      <c r="I109" s="37">
        <f t="shared" ref="I109" si="49">(B110*(D110/100+1))+3</f>
        <v>3</v>
      </c>
      <c r="J109" s="30">
        <f t="shared" ref="J109" si="50">H109*I109</f>
        <v>0</v>
      </c>
      <c r="L109">
        <f>B109</f>
        <v>0</v>
      </c>
      <c r="M109" s="37">
        <v>38</v>
      </c>
      <c r="N109" s="30">
        <f t="shared" si="46"/>
        <v>0</v>
      </c>
      <c r="O109" t="s">
        <v>531</v>
      </c>
      <c r="P109">
        <f>B109*3</f>
        <v>0</v>
      </c>
      <c r="Q109">
        <f t="shared" ref="Q109:Q112" si="51">P109/20</f>
        <v>0</v>
      </c>
      <c r="R109">
        <f t="shared" si="47"/>
        <v>0</v>
      </c>
    </row>
    <row r="110" spans="1:18" x14ac:dyDescent="0.25">
      <c r="A110" s="41" t="s">
        <v>197</v>
      </c>
      <c r="B110" s="54"/>
      <c r="C110" s="41"/>
      <c r="D110" s="41">
        <v>10</v>
      </c>
      <c r="I110" s="37"/>
      <c r="J110" s="30"/>
      <c r="M110" s="37"/>
      <c r="N110" s="30">
        <f t="shared" si="46"/>
        <v>0</v>
      </c>
      <c r="R110">
        <f t="shared" si="47"/>
        <v>0</v>
      </c>
    </row>
    <row r="111" spans="1:18" x14ac:dyDescent="0.25">
      <c r="A111" s="52"/>
      <c r="B111" s="4"/>
      <c r="C111" s="52"/>
      <c r="D111" s="60"/>
      <c r="I111" s="37"/>
      <c r="J111" s="30"/>
      <c r="M111" s="37"/>
      <c r="N111" s="30">
        <f t="shared" si="46"/>
        <v>0</v>
      </c>
      <c r="R111">
        <f t="shared" si="47"/>
        <v>0</v>
      </c>
    </row>
    <row r="112" spans="1:18" x14ac:dyDescent="0.25">
      <c r="A112" s="41" t="s">
        <v>535</v>
      </c>
      <c r="B112" s="53"/>
      <c r="C112" s="60"/>
      <c r="D112" s="60"/>
      <c r="E112" s="25" t="s">
        <v>528</v>
      </c>
      <c r="H112">
        <f>B112</f>
        <v>0</v>
      </c>
      <c r="I112" s="37">
        <f>(B113*(D113/100+1))</f>
        <v>0</v>
      </c>
      <c r="J112" s="30">
        <f t="shared" ref="J112" si="52">H112*I112</f>
        <v>0</v>
      </c>
      <c r="L112">
        <f>B112</f>
        <v>0</v>
      </c>
      <c r="M112" s="37">
        <v>75</v>
      </c>
      <c r="N112" s="30">
        <f t="shared" si="46"/>
        <v>0</v>
      </c>
      <c r="O112" t="s">
        <v>531</v>
      </c>
      <c r="P112">
        <f>B112*3</f>
        <v>0</v>
      </c>
      <c r="Q112">
        <f t="shared" si="51"/>
        <v>0</v>
      </c>
      <c r="R112">
        <f t="shared" si="47"/>
        <v>0</v>
      </c>
    </row>
    <row r="113" spans="1:18" x14ac:dyDescent="0.25">
      <c r="A113" s="41" t="s">
        <v>197</v>
      </c>
      <c r="B113" s="54"/>
      <c r="C113" s="41"/>
      <c r="D113" s="41">
        <v>10</v>
      </c>
      <c r="I113" s="37"/>
      <c r="J113" s="30"/>
      <c r="M113" s="37"/>
      <c r="N113" s="30">
        <f t="shared" si="46"/>
        <v>0</v>
      </c>
      <c r="R113">
        <f t="shared" si="47"/>
        <v>0</v>
      </c>
    </row>
    <row r="114" spans="1:18" x14ac:dyDescent="0.25">
      <c r="A114" s="52"/>
      <c r="B114" s="4"/>
      <c r="C114" s="52"/>
      <c r="D114" s="60"/>
      <c r="I114" s="37"/>
      <c r="J114" s="30"/>
      <c r="M114" s="37"/>
      <c r="N114" s="30">
        <f t="shared" si="46"/>
        <v>0</v>
      </c>
      <c r="R114">
        <f t="shared" si="47"/>
        <v>0</v>
      </c>
    </row>
    <row r="115" spans="1:18" x14ac:dyDescent="0.25">
      <c r="A115" s="41" t="s">
        <v>525</v>
      </c>
      <c r="B115" s="53"/>
      <c r="C115" s="60"/>
      <c r="D115" s="60"/>
      <c r="H115">
        <v>1</v>
      </c>
      <c r="I115" s="37">
        <f>B115*1.8*7.14</f>
        <v>0</v>
      </c>
      <c r="J115" s="30">
        <f t="shared" ref="J115" si="53">H115*I115</f>
        <v>0</v>
      </c>
      <c r="L115">
        <f>B115</f>
        <v>0</v>
      </c>
      <c r="M115" s="37">
        <v>14.04</v>
      </c>
      <c r="N115" s="30">
        <f t="shared" si="46"/>
        <v>0</v>
      </c>
      <c r="O115" t="s">
        <v>391</v>
      </c>
      <c r="P115">
        <f>B115*1.8</f>
        <v>0</v>
      </c>
      <c r="Q115">
        <f>P115/15</f>
        <v>0</v>
      </c>
      <c r="R115">
        <f t="shared" si="47"/>
        <v>0</v>
      </c>
    </row>
    <row r="116" spans="1:18" x14ac:dyDescent="0.25">
      <c r="A116" s="52"/>
      <c r="B116" s="4"/>
      <c r="C116" s="52"/>
      <c r="D116" s="60"/>
      <c r="I116" s="37"/>
      <c r="M116" s="37"/>
      <c r="N116" s="30">
        <f t="shared" si="46"/>
        <v>0</v>
      </c>
      <c r="R116">
        <f t="shared" si="47"/>
        <v>0</v>
      </c>
    </row>
    <row r="117" spans="1:18" x14ac:dyDescent="0.25">
      <c r="A117" s="41" t="s">
        <v>526</v>
      </c>
      <c r="B117" s="53"/>
      <c r="C117" s="60"/>
      <c r="D117" s="60"/>
      <c r="H117">
        <f>B117</f>
        <v>0</v>
      </c>
      <c r="I117" s="37">
        <v>0.51</v>
      </c>
      <c r="J117" s="30">
        <f>H117*I117*1.1</f>
        <v>0</v>
      </c>
      <c r="L117">
        <f t="shared" ref="L117" si="54">B117</f>
        <v>0</v>
      </c>
      <c r="M117" s="37">
        <v>2.8</v>
      </c>
      <c r="N117" s="30">
        <f t="shared" si="46"/>
        <v>0</v>
      </c>
      <c r="O117" t="s">
        <v>534</v>
      </c>
      <c r="P117">
        <f>B117</f>
        <v>0</v>
      </c>
      <c r="Q117">
        <f>P117/40</f>
        <v>0</v>
      </c>
      <c r="R117">
        <f t="shared" si="47"/>
        <v>0</v>
      </c>
    </row>
    <row r="118" spans="1:18" x14ac:dyDescent="0.25">
      <c r="A118" s="52"/>
      <c r="B118" s="4"/>
      <c r="C118" s="52"/>
      <c r="D118" s="65"/>
      <c r="I118" s="37"/>
      <c r="J118" s="30"/>
      <c r="M118" s="37"/>
      <c r="N118" s="30">
        <f t="shared" si="46"/>
        <v>0</v>
      </c>
      <c r="R118">
        <f t="shared" si="47"/>
        <v>0</v>
      </c>
    </row>
    <row r="119" spans="1:18" x14ac:dyDescent="0.25">
      <c r="A119" s="41" t="s">
        <v>396</v>
      </c>
      <c r="B119" s="17"/>
      <c r="C119" s="60"/>
      <c r="D119" s="60"/>
      <c r="H119">
        <f>B119</f>
        <v>0</v>
      </c>
      <c r="I119" s="37">
        <f>10.35</f>
        <v>10.35</v>
      </c>
      <c r="J119" s="30">
        <f>H119*I119</f>
        <v>0</v>
      </c>
      <c r="L119">
        <f t="shared" ref="L119" si="55">B119</f>
        <v>0</v>
      </c>
      <c r="M119" s="37">
        <v>4.4000000000000004</v>
      </c>
      <c r="N119" s="30">
        <f t="shared" si="46"/>
        <v>0</v>
      </c>
      <c r="O119" t="s">
        <v>396</v>
      </c>
      <c r="Q119">
        <f>B119</f>
        <v>0</v>
      </c>
      <c r="R119">
        <f t="shared" si="47"/>
        <v>0</v>
      </c>
    </row>
    <row r="120" spans="1:18" x14ac:dyDescent="0.25">
      <c r="A120" s="52"/>
      <c r="B120" s="4"/>
      <c r="C120" s="52"/>
      <c r="D120" s="52"/>
      <c r="I120" s="37"/>
      <c r="J120" s="30"/>
      <c r="M120" s="37"/>
      <c r="N120" s="30">
        <f t="shared" si="46"/>
        <v>0</v>
      </c>
      <c r="R120">
        <f t="shared" si="47"/>
        <v>0</v>
      </c>
    </row>
    <row r="121" spans="1:18" x14ac:dyDescent="0.25">
      <c r="A121" s="41" t="s">
        <v>527</v>
      </c>
      <c r="B121" s="17"/>
      <c r="C121" s="60"/>
      <c r="D121" s="60"/>
      <c r="E121" s="25"/>
      <c r="H121">
        <f>B121</f>
        <v>0</v>
      </c>
      <c r="I121" s="37">
        <v>10.42</v>
      </c>
      <c r="J121" s="30">
        <f t="shared" ref="J121" si="56">H121*I121</f>
        <v>0</v>
      </c>
      <c r="L121">
        <f>B121</f>
        <v>0</v>
      </c>
      <c r="M121" s="37">
        <v>2.8</v>
      </c>
      <c r="N121" s="30">
        <f t="shared" si="46"/>
        <v>0</v>
      </c>
      <c r="O121" t="s">
        <v>527</v>
      </c>
      <c r="Q121">
        <f>B121</f>
        <v>0</v>
      </c>
      <c r="R121">
        <f t="shared" si="47"/>
        <v>0</v>
      </c>
    </row>
    <row r="122" spans="1:18" x14ac:dyDescent="0.25">
      <c r="A122" s="52"/>
      <c r="B122" s="4"/>
      <c r="C122" s="52"/>
      <c r="D122" s="66"/>
      <c r="I122" s="37"/>
      <c r="J122" s="30"/>
      <c r="M122" s="37"/>
      <c r="N122" s="30"/>
    </row>
    <row r="123" spans="1:18" x14ac:dyDescent="0.25">
      <c r="A123" s="41" t="s">
        <v>532</v>
      </c>
      <c r="B123" s="17"/>
      <c r="C123" s="60"/>
      <c r="D123" s="60"/>
      <c r="E123" s="25"/>
      <c r="H123">
        <f>B123</f>
        <v>0</v>
      </c>
      <c r="I123" s="37">
        <v>3.17</v>
      </c>
      <c r="J123" s="30">
        <f t="shared" ref="J123" si="57">H123*I123</f>
        <v>0</v>
      </c>
      <c r="L123">
        <f>B123</f>
        <v>0</v>
      </c>
      <c r="M123" s="37">
        <v>5.3</v>
      </c>
      <c r="N123" s="30">
        <f t="shared" ref="N123" si="58">L123*M123</f>
        <v>0</v>
      </c>
      <c r="O123" t="s">
        <v>533</v>
      </c>
      <c r="P123">
        <f>B123/1.5</f>
        <v>0</v>
      </c>
      <c r="Q123">
        <f>P123/10</f>
        <v>0</v>
      </c>
      <c r="R123">
        <f t="shared" si="47"/>
        <v>0</v>
      </c>
    </row>
    <row r="124" spans="1:18" x14ac:dyDescent="0.25">
      <c r="A124" s="52"/>
      <c r="B124" s="4"/>
      <c r="C124" s="52"/>
      <c r="D124" s="66"/>
      <c r="I124" s="37"/>
      <c r="J124" s="30"/>
      <c r="M124" s="37"/>
      <c r="N124" s="30"/>
    </row>
    <row r="125" spans="1:18" x14ac:dyDescent="0.25">
      <c r="A125" s="41" t="s">
        <v>203</v>
      </c>
      <c r="B125" s="54"/>
      <c r="C125" s="60"/>
      <c r="D125" s="60"/>
      <c r="I125" s="37">
        <f t="shared" ref="I125" si="59">(B126*(D126/100+1))</f>
        <v>0</v>
      </c>
      <c r="J125" s="30">
        <f>B125</f>
        <v>0</v>
      </c>
      <c r="M125" s="37"/>
      <c r="N125" s="30"/>
    </row>
    <row r="126" spans="1:18" x14ac:dyDescent="0.25">
      <c r="I126" s="37"/>
    </row>
    <row r="127" spans="1:18" x14ac:dyDescent="0.25">
      <c r="I127" s="37" t="s">
        <v>209</v>
      </c>
      <c r="J127" s="30">
        <f>SUM(J106:J125)</f>
        <v>0</v>
      </c>
      <c r="M127" t="s">
        <v>209</v>
      </c>
      <c r="N127" s="30">
        <f>SUM(N106:N126)</f>
        <v>0</v>
      </c>
    </row>
    <row r="128" spans="1:18" x14ac:dyDescent="0.25">
      <c r="A128" t="s">
        <v>153</v>
      </c>
      <c r="B128" s="30">
        <f>J127/((100-B129)/100)</f>
        <v>0</v>
      </c>
      <c r="I128" s="37"/>
    </row>
    <row r="129" spans="1:18" x14ac:dyDescent="0.25">
      <c r="A129" t="s">
        <v>169</v>
      </c>
      <c r="B129">
        <v>0</v>
      </c>
      <c r="I129" s="37"/>
    </row>
    <row r="130" spans="1:18" x14ac:dyDescent="0.25">
      <c r="I130" s="37"/>
    </row>
    <row r="131" spans="1:18" x14ac:dyDescent="0.25">
      <c r="A131" t="s">
        <v>210</v>
      </c>
      <c r="B131" s="30">
        <f>N127*((100+B132)/100)</f>
        <v>0</v>
      </c>
      <c r="I131" s="37"/>
    </row>
    <row r="132" spans="1:18" x14ac:dyDescent="0.25">
      <c r="A132" t="s">
        <v>154</v>
      </c>
      <c r="B132">
        <v>0</v>
      </c>
      <c r="I132" s="37"/>
    </row>
    <row r="135" spans="1:18" x14ac:dyDescent="0.25">
      <c r="A135" s="1" t="s">
        <v>110</v>
      </c>
      <c r="B135" s="1" t="s">
        <v>79</v>
      </c>
      <c r="I135" s="37"/>
    </row>
    <row r="136" spans="1:18" x14ac:dyDescent="0.25">
      <c r="A136" s="1" t="s">
        <v>487</v>
      </c>
      <c r="I136" s="37"/>
    </row>
    <row r="137" spans="1:18" x14ac:dyDescent="0.25">
      <c r="H137" s="1" t="s">
        <v>114</v>
      </c>
      <c r="I137" s="37"/>
      <c r="L137" s="1" t="s">
        <v>76</v>
      </c>
      <c r="P137" s="1" t="s">
        <v>144</v>
      </c>
    </row>
    <row r="138" spans="1:18" x14ac:dyDescent="0.25">
      <c r="B138" s="1" t="s">
        <v>196</v>
      </c>
      <c r="C138" s="1" t="s">
        <v>125</v>
      </c>
      <c r="D138" s="1" t="s">
        <v>221</v>
      </c>
      <c r="H138" t="s">
        <v>198</v>
      </c>
      <c r="I138" s="37" t="s">
        <v>126</v>
      </c>
      <c r="J138" t="s">
        <v>155</v>
      </c>
      <c r="L138" t="s">
        <v>198</v>
      </c>
      <c r="M138" t="s">
        <v>126</v>
      </c>
      <c r="N138" t="s">
        <v>155</v>
      </c>
      <c r="P138" t="s">
        <v>28</v>
      </c>
      <c r="Q138" t="s">
        <v>529</v>
      </c>
      <c r="R138" t="s">
        <v>530</v>
      </c>
    </row>
    <row r="139" spans="1:18" x14ac:dyDescent="0.25">
      <c r="A139" s="41" t="s">
        <v>523</v>
      </c>
      <c r="B139" s="53"/>
      <c r="C139" s="60"/>
      <c r="D139" s="60"/>
      <c r="E139" s="25"/>
      <c r="H139">
        <f>B139</f>
        <v>0</v>
      </c>
      <c r="I139" s="37">
        <f>(B140*(D140/100+1))+3</f>
        <v>3</v>
      </c>
      <c r="J139" s="30">
        <f>H139*I139</f>
        <v>0</v>
      </c>
      <c r="L139">
        <f>B139</f>
        <v>0</v>
      </c>
      <c r="M139" s="37">
        <v>38</v>
      </c>
      <c r="N139" s="30">
        <f>L139*M139</f>
        <v>0</v>
      </c>
      <c r="O139" t="s">
        <v>531</v>
      </c>
      <c r="P139">
        <f>B139*3</f>
        <v>0</v>
      </c>
      <c r="Q139">
        <f>P139/20</f>
        <v>0</v>
      </c>
      <c r="R139">
        <f>ROUNDUP(Q139,0)</f>
        <v>0</v>
      </c>
    </row>
    <row r="140" spans="1:18" x14ac:dyDescent="0.25">
      <c r="A140" s="41" t="s">
        <v>197</v>
      </c>
      <c r="B140" s="54"/>
      <c r="C140" s="41"/>
      <c r="D140" s="41">
        <v>10</v>
      </c>
      <c r="I140" s="37"/>
      <c r="J140" s="30">
        <f t="shared" ref="J140" si="60">H140*I140</f>
        <v>0</v>
      </c>
      <c r="M140" s="37"/>
      <c r="N140" s="30">
        <f t="shared" ref="N140:N154" si="61">L140*M140</f>
        <v>0</v>
      </c>
      <c r="R140">
        <f t="shared" ref="R140:R156" si="62">ROUNDUP(Q140,0)</f>
        <v>0</v>
      </c>
    </row>
    <row r="141" spans="1:18" x14ac:dyDescent="0.25">
      <c r="A141" s="52"/>
      <c r="B141" s="4"/>
      <c r="C141" s="52"/>
      <c r="D141" s="60"/>
      <c r="I141" s="37"/>
      <c r="J141" s="30"/>
      <c r="M141" s="37"/>
      <c r="N141" s="30">
        <f t="shared" si="61"/>
        <v>0</v>
      </c>
      <c r="R141">
        <f t="shared" si="62"/>
        <v>0</v>
      </c>
    </row>
    <row r="142" spans="1:18" x14ac:dyDescent="0.25">
      <c r="A142" s="41" t="s">
        <v>524</v>
      </c>
      <c r="B142" s="53"/>
      <c r="C142" s="60"/>
      <c r="D142" s="60"/>
      <c r="E142" s="25"/>
      <c r="H142">
        <f t="shared" ref="H142" si="63">B142</f>
        <v>0</v>
      </c>
      <c r="I142" s="37">
        <f t="shared" ref="I142" si="64">(B143*(D143/100+1))+3</f>
        <v>3</v>
      </c>
      <c r="J142" s="30">
        <f t="shared" ref="J142" si="65">H142*I142</f>
        <v>0</v>
      </c>
      <c r="L142">
        <f>B142</f>
        <v>0</v>
      </c>
      <c r="M142" s="37">
        <v>38</v>
      </c>
      <c r="N142" s="30">
        <f t="shared" si="61"/>
        <v>0</v>
      </c>
      <c r="O142" t="s">
        <v>531</v>
      </c>
      <c r="P142">
        <f>B142*3</f>
        <v>0</v>
      </c>
      <c r="Q142">
        <f t="shared" ref="Q142:Q145" si="66">P142/20</f>
        <v>0</v>
      </c>
      <c r="R142">
        <f t="shared" si="62"/>
        <v>0</v>
      </c>
    </row>
    <row r="143" spans="1:18" x14ac:dyDescent="0.25">
      <c r="A143" s="41" t="s">
        <v>197</v>
      </c>
      <c r="B143" s="54"/>
      <c r="C143" s="41"/>
      <c r="D143" s="41">
        <v>10</v>
      </c>
      <c r="I143" s="37"/>
      <c r="J143" s="30"/>
      <c r="M143" s="37"/>
      <c r="N143" s="30">
        <f t="shared" si="61"/>
        <v>0</v>
      </c>
      <c r="R143">
        <f t="shared" si="62"/>
        <v>0</v>
      </c>
    </row>
    <row r="144" spans="1:18" x14ac:dyDescent="0.25">
      <c r="A144" s="52"/>
      <c r="B144" s="4"/>
      <c r="C144" s="52"/>
      <c r="D144" s="60"/>
      <c r="I144" s="37"/>
      <c r="J144" s="30"/>
      <c r="M144" s="37"/>
      <c r="N144" s="30">
        <f t="shared" si="61"/>
        <v>0</v>
      </c>
      <c r="R144">
        <f t="shared" si="62"/>
        <v>0</v>
      </c>
    </row>
    <row r="145" spans="1:18" x14ac:dyDescent="0.25">
      <c r="A145" s="41" t="s">
        <v>535</v>
      </c>
      <c r="B145" s="53"/>
      <c r="C145" s="60"/>
      <c r="D145" s="60"/>
      <c r="E145" s="25" t="s">
        <v>528</v>
      </c>
      <c r="H145">
        <f>B145</f>
        <v>0</v>
      </c>
      <c r="I145" s="37">
        <f>(B146*(D146/100+1))</f>
        <v>0</v>
      </c>
      <c r="J145" s="30">
        <f t="shared" ref="J145" si="67">H145*I145</f>
        <v>0</v>
      </c>
      <c r="L145">
        <f>B145</f>
        <v>0</v>
      </c>
      <c r="M145" s="37">
        <v>75</v>
      </c>
      <c r="N145" s="30">
        <f t="shared" si="61"/>
        <v>0</v>
      </c>
      <c r="O145" t="s">
        <v>531</v>
      </c>
      <c r="P145">
        <f>B145*3</f>
        <v>0</v>
      </c>
      <c r="Q145">
        <f t="shared" si="66"/>
        <v>0</v>
      </c>
      <c r="R145">
        <f t="shared" si="62"/>
        <v>0</v>
      </c>
    </row>
    <row r="146" spans="1:18" x14ac:dyDescent="0.25">
      <c r="A146" s="41" t="s">
        <v>197</v>
      </c>
      <c r="B146" s="54"/>
      <c r="C146" s="41"/>
      <c r="D146" s="41">
        <v>10</v>
      </c>
      <c r="I146" s="37"/>
      <c r="J146" s="30"/>
      <c r="M146" s="37"/>
      <c r="N146" s="30">
        <f t="shared" si="61"/>
        <v>0</v>
      </c>
      <c r="R146">
        <f t="shared" si="62"/>
        <v>0</v>
      </c>
    </row>
    <row r="147" spans="1:18" x14ac:dyDescent="0.25">
      <c r="A147" s="52"/>
      <c r="B147" s="4"/>
      <c r="C147" s="52"/>
      <c r="D147" s="60"/>
      <c r="I147" s="37"/>
      <c r="J147" s="30"/>
      <c r="M147" s="37"/>
      <c r="N147" s="30">
        <f t="shared" si="61"/>
        <v>0</v>
      </c>
      <c r="R147">
        <f t="shared" si="62"/>
        <v>0</v>
      </c>
    </row>
    <row r="148" spans="1:18" x14ac:dyDescent="0.25">
      <c r="A148" s="41" t="s">
        <v>525</v>
      </c>
      <c r="B148" s="53"/>
      <c r="C148" s="60"/>
      <c r="D148" s="60"/>
      <c r="H148">
        <v>1</v>
      </c>
      <c r="I148" s="37">
        <f>B148*1.8*7.14</f>
        <v>0</v>
      </c>
      <c r="J148" s="30">
        <f t="shared" ref="J148" si="68">H148*I148</f>
        <v>0</v>
      </c>
      <c r="L148">
        <f>B148</f>
        <v>0</v>
      </c>
      <c r="M148" s="37">
        <v>14.04</v>
      </c>
      <c r="N148" s="30">
        <f t="shared" si="61"/>
        <v>0</v>
      </c>
      <c r="O148" t="s">
        <v>391</v>
      </c>
      <c r="P148">
        <f>B148*1.8</f>
        <v>0</v>
      </c>
      <c r="Q148">
        <f>P148/15</f>
        <v>0</v>
      </c>
      <c r="R148">
        <f t="shared" si="62"/>
        <v>0</v>
      </c>
    </row>
    <row r="149" spans="1:18" x14ac:dyDescent="0.25">
      <c r="A149" s="52"/>
      <c r="B149" s="4"/>
      <c r="C149" s="52"/>
      <c r="D149" s="60"/>
      <c r="I149" s="37"/>
      <c r="M149" s="37"/>
      <c r="N149" s="30">
        <f t="shared" si="61"/>
        <v>0</v>
      </c>
      <c r="R149">
        <f t="shared" si="62"/>
        <v>0</v>
      </c>
    </row>
    <row r="150" spans="1:18" x14ac:dyDescent="0.25">
      <c r="A150" s="41" t="s">
        <v>526</v>
      </c>
      <c r="B150" s="53"/>
      <c r="C150" s="60"/>
      <c r="D150" s="60"/>
      <c r="H150">
        <f>B150</f>
        <v>0</v>
      </c>
      <c r="I150" s="37">
        <v>0.51</v>
      </c>
      <c r="J150" s="30">
        <f>H150*I150*1.1</f>
        <v>0</v>
      </c>
      <c r="L150">
        <f t="shared" ref="L150" si="69">B150</f>
        <v>0</v>
      </c>
      <c r="M150" s="37">
        <v>2.8</v>
      </c>
      <c r="N150" s="30">
        <f t="shared" si="61"/>
        <v>0</v>
      </c>
      <c r="O150" t="s">
        <v>534</v>
      </c>
      <c r="P150">
        <f>B150</f>
        <v>0</v>
      </c>
      <c r="Q150">
        <f>P150/40</f>
        <v>0</v>
      </c>
      <c r="R150">
        <f t="shared" si="62"/>
        <v>0</v>
      </c>
    </row>
    <row r="151" spans="1:18" x14ac:dyDescent="0.25">
      <c r="A151" s="52"/>
      <c r="B151" s="4"/>
      <c r="C151" s="52"/>
      <c r="D151" s="65"/>
      <c r="I151" s="37"/>
      <c r="J151" s="30"/>
      <c r="M151" s="37"/>
      <c r="N151" s="30">
        <f t="shared" si="61"/>
        <v>0</v>
      </c>
      <c r="R151">
        <f t="shared" si="62"/>
        <v>0</v>
      </c>
    </row>
    <row r="152" spans="1:18" x14ac:dyDescent="0.25">
      <c r="A152" s="41" t="s">
        <v>396</v>
      </c>
      <c r="B152" s="17"/>
      <c r="C152" s="60"/>
      <c r="D152" s="60"/>
      <c r="H152">
        <f>B152</f>
        <v>0</v>
      </c>
      <c r="I152" s="37">
        <f>10.35</f>
        <v>10.35</v>
      </c>
      <c r="J152" s="30">
        <f>H152*I152</f>
        <v>0</v>
      </c>
      <c r="L152">
        <f t="shared" ref="L152" si="70">B152</f>
        <v>0</v>
      </c>
      <c r="M152" s="37">
        <v>4.4000000000000004</v>
      </c>
      <c r="N152" s="30">
        <f t="shared" si="61"/>
        <v>0</v>
      </c>
      <c r="O152" t="s">
        <v>396</v>
      </c>
      <c r="Q152">
        <f>B152</f>
        <v>0</v>
      </c>
      <c r="R152">
        <f t="shared" si="62"/>
        <v>0</v>
      </c>
    </row>
    <row r="153" spans="1:18" x14ac:dyDescent="0.25">
      <c r="A153" s="52"/>
      <c r="B153" s="4"/>
      <c r="C153" s="52"/>
      <c r="D153" s="52"/>
      <c r="I153" s="37"/>
      <c r="J153" s="30"/>
      <c r="M153" s="37"/>
      <c r="N153" s="30">
        <f t="shared" si="61"/>
        <v>0</v>
      </c>
      <c r="R153">
        <f t="shared" si="62"/>
        <v>0</v>
      </c>
    </row>
    <row r="154" spans="1:18" x14ac:dyDescent="0.25">
      <c r="A154" s="41" t="s">
        <v>527</v>
      </c>
      <c r="B154" s="17"/>
      <c r="C154" s="60"/>
      <c r="D154" s="60"/>
      <c r="E154" s="25"/>
      <c r="H154">
        <f>B154</f>
        <v>0</v>
      </c>
      <c r="I154" s="37">
        <v>10.42</v>
      </c>
      <c r="J154" s="30">
        <f t="shared" ref="J154" si="71">H154*I154</f>
        <v>0</v>
      </c>
      <c r="L154">
        <f>B154</f>
        <v>0</v>
      </c>
      <c r="M154" s="37">
        <v>2.8</v>
      </c>
      <c r="N154" s="30">
        <f t="shared" si="61"/>
        <v>0</v>
      </c>
      <c r="O154" t="s">
        <v>527</v>
      </c>
      <c r="Q154">
        <f>B154</f>
        <v>0</v>
      </c>
      <c r="R154">
        <f t="shared" si="62"/>
        <v>0</v>
      </c>
    </row>
    <row r="155" spans="1:18" x14ac:dyDescent="0.25">
      <c r="A155" s="52"/>
      <c r="B155" s="4"/>
      <c r="C155" s="52"/>
      <c r="D155" s="66"/>
      <c r="I155" s="37"/>
      <c r="J155" s="30"/>
      <c r="M155" s="37"/>
      <c r="N155" s="30"/>
    </row>
    <row r="156" spans="1:18" x14ac:dyDescent="0.25">
      <c r="A156" s="41" t="s">
        <v>532</v>
      </c>
      <c r="B156" s="17"/>
      <c r="C156" s="60"/>
      <c r="D156" s="60"/>
      <c r="E156" s="25"/>
      <c r="H156">
        <f>B156</f>
        <v>0</v>
      </c>
      <c r="I156" s="37">
        <v>3.17</v>
      </c>
      <c r="J156" s="30">
        <f t="shared" ref="J156" si="72">H156*I156</f>
        <v>0</v>
      </c>
      <c r="L156">
        <f>B156</f>
        <v>0</v>
      </c>
      <c r="M156" s="37">
        <v>5.3</v>
      </c>
      <c r="N156" s="30">
        <f t="shared" ref="N156" si="73">L156*M156</f>
        <v>0</v>
      </c>
      <c r="O156" t="s">
        <v>533</v>
      </c>
      <c r="P156">
        <f>B156/1.5</f>
        <v>0</v>
      </c>
      <c r="Q156">
        <f>P156/10</f>
        <v>0</v>
      </c>
      <c r="R156">
        <f t="shared" si="62"/>
        <v>0</v>
      </c>
    </row>
    <row r="157" spans="1:18" x14ac:dyDescent="0.25">
      <c r="A157" s="52"/>
      <c r="B157" s="4"/>
      <c r="C157" s="52"/>
      <c r="D157" s="66"/>
      <c r="I157" s="37"/>
      <c r="J157" s="30"/>
      <c r="M157" s="37"/>
      <c r="N157" s="30"/>
    </row>
    <row r="158" spans="1:18" x14ac:dyDescent="0.25">
      <c r="A158" s="41" t="s">
        <v>203</v>
      </c>
      <c r="B158" s="54"/>
      <c r="C158" s="60"/>
      <c r="D158" s="60"/>
      <c r="I158" s="37">
        <f t="shared" ref="I158" si="74">(B159*(D159/100+1))</f>
        <v>0</v>
      </c>
      <c r="J158" s="30">
        <f>B158</f>
        <v>0</v>
      </c>
      <c r="M158" s="37"/>
      <c r="N158" s="30"/>
    </row>
    <row r="159" spans="1:18" x14ac:dyDescent="0.25">
      <c r="I159" s="37"/>
    </row>
    <row r="160" spans="1:18" x14ac:dyDescent="0.25">
      <c r="I160" s="37" t="s">
        <v>209</v>
      </c>
      <c r="J160" s="30">
        <f>SUM(J139:J158)</f>
        <v>0</v>
      </c>
      <c r="M160" t="s">
        <v>209</v>
      </c>
      <c r="N160" s="30">
        <f>SUM(N139:N159)</f>
        <v>0</v>
      </c>
    </row>
    <row r="161" spans="1:18" x14ac:dyDescent="0.25">
      <c r="A161" t="s">
        <v>153</v>
      </c>
      <c r="B161" s="30">
        <f>J160/((100-B162)/100)</f>
        <v>0</v>
      </c>
      <c r="I161" s="37"/>
    </row>
    <row r="162" spans="1:18" x14ac:dyDescent="0.25">
      <c r="A162" t="s">
        <v>169</v>
      </c>
      <c r="B162">
        <v>0</v>
      </c>
      <c r="I162" s="37"/>
    </row>
    <row r="163" spans="1:18" x14ac:dyDescent="0.25">
      <c r="I163" s="37"/>
    </row>
    <row r="164" spans="1:18" x14ac:dyDescent="0.25">
      <c r="A164" t="s">
        <v>210</v>
      </c>
      <c r="B164" s="30">
        <f>N160*((100+B165)/100)</f>
        <v>0</v>
      </c>
      <c r="I164" s="37"/>
    </row>
    <row r="165" spans="1:18" x14ac:dyDescent="0.25">
      <c r="A165" t="s">
        <v>154</v>
      </c>
      <c r="B165">
        <v>0</v>
      </c>
      <c r="I165" s="37"/>
    </row>
    <row r="168" spans="1:18" x14ac:dyDescent="0.25">
      <c r="A168" s="1" t="s">
        <v>111</v>
      </c>
      <c r="B168" s="1" t="s">
        <v>79</v>
      </c>
      <c r="I168" s="37"/>
    </row>
    <row r="169" spans="1:18" x14ac:dyDescent="0.25">
      <c r="A169" s="1" t="s">
        <v>487</v>
      </c>
      <c r="I169" s="37"/>
    </row>
    <row r="170" spans="1:18" x14ac:dyDescent="0.25">
      <c r="H170" s="1" t="s">
        <v>114</v>
      </c>
      <c r="I170" s="37"/>
      <c r="L170" s="1" t="s">
        <v>76</v>
      </c>
      <c r="P170" s="1" t="s">
        <v>144</v>
      </c>
    </row>
    <row r="171" spans="1:18" x14ac:dyDescent="0.25">
      <c r="B171" s="1" t="s">
        <v>196</v>
      </c>
      <c r="C171" s="1" t="s">
        <v>125</v>
      </c>
      <c r="D171" s="1" t="s">
        <v>221</v>
      </c>
      <c r="H171" t="s">
        <v>198</v>
      </c>
      <c r="I171" s="37" t="s">
        <v>126</v>
      </c>
      <c r="J171" t="s">
        <v>155</v>
      </c>
      <c r="L171" t="s">
        <v>198</v>
      </c>
      <c r="M171" t="s">
        <v>126</v>
      </c>
      <c r="N171" t="s">
        <v>155</v>
      </c>
      <c r="P171" t="s">
        <v>28</v>
      </c>
      <c r="Q171" t="s">
        <v>529</v>
      </c>
      <c r="R171" t="s">
        <v>530</v>
      </c>
    </row>
    <row r="172" spans="1:18" x14ac:dyDescent="0.25">
      <c r="A172" s="41" t="s">
        <v>523</v>
      </c>
      <c r="B172" s="53"/>
      <c r="C172" s="60"/>
      <c r="D172" s="60"/>
      <c r="E172" s="25"/>
      <c r="H172">
        <f>B172</f>
        <v>0</v>
      </c>
      <c r="I172" s="37">
        <f>(B173*(D173/100+1))+3</f>
        <v>3</v>
      </c>
      <c r="J172" s="30">
        <f>H172*I172</f>
        <v>0</v>
      </c>
      <c r="L172">
        <f>B172</f>
        <v>0</v>
      </c>
      <c r="M172" s="37">
        <v>38</v>
      </c>
      <c r="N172" s="30">
        <f>L172*M172</f>
        <v>0</v>
      </c>
      <c r="O172" t="s">
        <v>531</v>
      </c>
      <c r="P172">
        <f>B172*3</f>
        <v>0</v>
      </c>
      <c r="Q172">
        <f>P172/20</f>
        <v>0</v>
      </c>
      <c r="R172">
        <f>ROUNDUP(Q172,0)</f>
        <v>0</v>
      </c>
    </row>
    <row r="173" spans="1:18" x14ac:dyDescent="0.25">
      <c r="A173" s="41" t="s">
        <v>197</v>
      </c>
      <c r="B173" s="54"/>
      <c r="C173" s="41"/>
      <c r="D173" s="41">
        <v>10</v>
      </c>
      <c r="I173" s="37"/>
      <c r="J173" s="30">
        <f t="shared" ref="J173" si="75">H173*I173</f>
        <v>0</v>
      </c>
      <c r="M173" s="37"/>
      <c r="N173" s="30">
        <f t="shared" ref="N173:N187" si="76">L173*M173</f>
        <v>0</v>
      </c>
      <c r="R173">
        <f t="shared" ref="R173:R189" si="77">ROUNDUP(Q173,0)</f>
        <v>0</v>
      </c>
    </row>
    <row r="174" spans="1:18" x14ac:dyDescent="0.25">
      <c r="A174" s="52"/>
      <c r="B174" s="4"/>
      <c r="C174" s="52"/>
      <c r="D174" s="60"/>
      <c r="I174" s="37"/>
      <c r="J174" s="30"/>
      <c r="M174" s="37"/>
      <c r="N174" s="30">
        <f t="shared" si="76"/>
        <v>0</v>
      </c>
      <c r="R174">
        <f t="shared" si="77"/>
        <v>0</v>
      </c>
    </row>
    <row r="175" spans="1:18" x14ac:dyDescent="0.25">
      <c r="A175" s="41" t="s">
        <v>524</v>
      </c>
      <c r="B175" s="53"/>
      <c r="C175" s="60"/>
      <c r="D175" s="60"/>
      <c r="E175" s="25"/>
      <c r="H175">
        <f t="shared" ref="H175" si="78">B175</f>
        <v>0</v>
      </c>
      <c r="I175" s="37">
        <f t="shared" ref="I175" si="79">(B176*(D176/100+1))+3</f>
        <v>3</v>
      </c>
      <c r="J175" s="30">
        <f t="shared" ref="J175" si="80">H175*I175</f>
        <v>0</v>
      </c>
      <c r="L175">
        <f>B175</f>
        <v>0</v>
      </c>
      <c r="M175" s="37">
        <v>38</v>
      </c>
      <c r="N175" s="30">
        <f t="shared" si="76"/>
        <v>0</v>
      </c>
      <c r="O175" t="s">
        <v>531</v>
      </c>
      <c r="P175">
        <f>B175*3</f>
        <v>0</v>
      </c>
      <c r="Q175">
        <f t="shared" ref="Q175:Q178" si="81">P175/20</f>
        <v>0</v>
      </c>
      <c r="R175">
        <f t="shared" si="77"/>
        <v>0</v>
      </c>
    </row>
    <row r="176" spans="1:18" x14ac:dyDescent="0.25">
      <c r="A176" s="41" t="s">
        <v>197</v>
      </c>
      <c r="B176" s="54"/>
      <c r="C176" s="41"/>
      <c r="D176" s="41">
        <v>10</v>
      </c>
      <c r="I176" s="37"/>
      <c r="J176" s="30"/>
      <c r="M176" s="37"/>
      <c r="N176" s="30">
        <f t="shared" si="76"/>
        <v>0</v>
      </c>
      <c r="R176">
        <f t="shared" si="77"/>
        <v>0</v>
      </c>
    </row>
    <row r="177" spans="1:18" x14ac:dyDescent="0.25">
      <c r="A177" s="52"/>
      <c r="B177" s="4"/>
      <c r="C177" s="52"/>
      <c r="D177" s="60"/>
      <c r="I177" s="37"/>
      <c r="J177" s="30"/>
      <c r="M177" s="37"/>
      <c r="N177" s="30">
        <f t="shared" si="76"/>
        <v>0</v>
      </c>
      <c r="R177">
        <f t="shared" si="77"/>
        <v>0</v>
      </c>
    </row>
    <row r="178" spans="1:18" x14ac:dyDescent="0.25">
      <c r="A178" s="41" t="s">
        <v>535</v>
      </c>
      <c r="B178" s="53"/>
      <c r="C178" s="60"/>
      <c r="D178" s="60"/>
      <c r="E178" s="25" t="s">
        <v>528</v>
      </c>
      <c r="H178">
        <f>B178</f>
        <v>0</v>
      </c>
      <c r="I178" s="37">
        <f>(B179*(D179/100+1))</f>
        <v>0</v>
      </c>
      <c r="J178" s="30">
        <f t="shared" ref="J178" si="82">H178*I178</f>
        <v>0</v>
      </c>
      <c r="L178">
        <f>B178</f>
        <v>0</v>
      </c>
      <c r="M178" s="37">
        <v>75</v>
      </c>
      <c r="N178" s="30">
        <f t="shared" si="76"/>
        <v>0</v>
      </c>
      <c r="O178" t="s">
        <v>531</v>
      </c>
      <c r="P178">
        <f>B178*3</f>
        <v>0</v>
      </c>
      <c r="Q178">
        <f t="shared" si="81"/>
        <v>0</v>
      </c>
      <c r="R178">
        <f t="shared" si="77"/>
        <v>0</v>
      </c>
    </row>
    <row r="179" spans="1:18" x14ac:dyDescent="0.25">
      <c r="A179" s="41" t="s">
        <v>197</v>
      </c>
      <c r="B179" s="54"/>
      <c r="C179" s="41"/>
      <c r="D179" s="41">
        <v>10</v>
      </c>
      <c r="I179" s="37"/>
      <c r="J179" s="30"/>
      <c r="M179" s="37"/>
      <c r="N179" s="30">
        <f t="shared" si="76"/>
        <v>0</v>
      </c>
      <c r="R179">
        <f t="shared" si="77"/>
        <v>0</v>
      </c>
    </row>
    <row r="180" spans="1:18" x14ac:dyDescent="0.25">
      <c r="A180" s="52"/>
      <c r="B180" s="4"/>
      <c r="C180" s="52"/>
      <c r="D180" s="60"/>
      <c r="I180" s="37"/>
      <c r="J180" s="30"/>
      <c r="M180" s="37"/>
      <c r="N180" s="30">
        <f t="shared" si="76"/>
        <v>0</v>
      </c>
      <c r="R180">
        <f t="shared" si="77"/>
        <v>0</v>
      </c>
    </row>
    <row r="181" spans="1:18" x14ac:dyDescent="0.25">
      <c r="A181" s="41" t="s">
        <v>525</v>
      </c>
      <c r="B181" s="53"/>
      <c r="C181" s="60"/>
      <c r="D181" s="60"/>
      <c r="H181">
        <v>1</v>
      </c>
      <c r="I181" s="37">
        <f>B181*1.8*7.14</f>
        <v>0</v>
      </c>
      <c r="J181" s="30">
        <f t="shared" ref="J181" si="83">H181*I181</f>
        <v>0</v>
      </c>
      <c r="L181">
        <f>B181</f>
        <v>0</v>
      </c>
      <c r="M181" s="37">
        <v>14.04</v>
      </c>
      <c r="N181" s="30">
        <f t="shared" si="76"/>
        <v>0</v>
      </c>
      <c r="O181" t="s">
        <v>391</v>
      </c>
      <c r="P181">
        <f>B181*1.8</f>
        <v>0</v>
      </c>
      <c r="Q181">
        <f>P181/15</f>
        <v>0</v>
      </c>
      <c r="R181">
        <f t="shared" si="77"/>
        <v>0</v>
      </c>
    </row>
    <row r="182" spans="1:18" x14ac:dyDescent="0.25">
      <c r="A182" s="52"/>
      <c r="B182" s="4"/>
      <c r="C182" s="52"/>
      <c r="D182" s="60"/>
      <c r="I182" s="37"/>
      <c r="M182" s="37"/>
      <c r="N182" s="30">
        <f t="shared" si="76"/>
        <v>0</v>
      </c>
      <c r="R182">
        <f t="shared" si="77"/>
        <v>0</v>
      </c>
    </row>
    <row r="183" spans="1:18" x14ac:dyDescent="0.25">
      <c r="A183" s="41" t="s">
        <v>526</v>
      </c>
      <c r="B183" s="53"/>
      <c r="C183" s="60"/>
      <c r="D183" s="60"/>
      <c r="H183">
        <f>B183</f>
        <v>0</v>
      </c>
      <c r="I183" s="37">
        <v>0.51</v>
      </c>
      <c r="J183" s="30">
        <f>H183*I183*1.1</f>
        <v>0</v>
      </c>
      <c r="L183">
        <f t="shared" ref="L183" si="84">B183</f>
        <v>0</v>
      </c>
      <c r="M183" s="37">
        <v>2.8</v>
      </c>
      <c r="N183" s="30">
        <f t="shared" si="76"/>
        <v>0</v>
      </c>
      <c r="O183" t="s">
        <v>534</v>
      </c>
      <c r="P183">
        <f>B183</f>
        <v>0</v>
      </c>
      <c r="Q183">
        <f>P183/40</f>
        <v>0</v>
      </c>
      <c r="R183">
        <f t="shared" si="77"/>
        <v>0</v>
      </c>
    </row>
    <row r="184" spans="1:18" x14ac:dyDescent="0.25">
      <c r="A184" s="52"/>
      <c r="B184" s="4"/>
      <c r="C184" s="52"/>
      <c r="D184" s="65"/>
      <c r="I184" s="37"/>
      <c r="J184" s="30"/>
      <c r="M184" s="37"/>
      <c r="N184" s="30">
        <f t="shared" si="76"/>
        <v>0</v>
      </c>
      <c r="R184">
        <f t="shared" si="77"/>
        <v>0</v>
      </c>
    </row>
    <row r="185" spans="1:18" x14ac:dyDescent="0.25">
      <c r="A185" s="41" t="s">
        <v>396</v>
      </c>
      <c r="B185" s="17"/>
      <c r="C185" s="60"/>
      <c r="D185" s="60"/>
      <c r="H185">
        <f>B185</f>
        <v>0</v>
      </c>
      <c r="I185" s="37">
        <f>10.35</f>
        <v>10.35</v>
      </c>
      <c r="J185" s="30">
        <f>H185*I185</f>
        <v>0</v>
      </c>
      <c r="L185">
        <f t="shared" ref="L185" si="85">B185</f>
        <v>0</v>
      </c>
      <c r="M185" s="37">
        <v>4.4000000000000004</v>
      </c>
      <c r="N185" s="30">
        <f t="shared" si="76"/>
        <v>0</v>
      </c>
      <c r="O185" t="s">
        <v>396</v>
      </c>
      <c r="Q185">
        <f>B185</f>
        <v>0</v>
      </c>
      <c r="R185">
        <f t="shared" si="77"/>
        <v>0</v>
      </c>
    </row>
    <row r="186" spans="1:18" x14ac:dyDescent="0.25">
      <c r="A186" s="52"/>
      <c r="B186" s="4"/>
      <c r="C186" s="52"/>
      <c r="D186" s="52"/>
      <c r="I186" s="37"/>
      <c r="J186" s="30"/>
      <c r="M186" s="37"/>
      <c r="N186" s="30">
        <f t="shared" si="76"/>
        <v>0</v>
      </c>
      <c r="R186">
        <f t="shared" si="77"/>
        <v>0</v>
      </c>
    </row>
    <row r="187" spans="1:18" x14ac:dyDescent="0.25">
      <c r="A187" s="41" t="s">
        <v>527</v>
      </c>
      <c r="B187" s="17"/>
      <c r="C187" s="60"/>
      <c r="D187" s="60"/>
      <c r="E187" s="25"/>
      <c r="H187">
        <f>B187</f>
        <v>0</v>
      </c>
      <c r="I187" s="37">
        <v>10.42</v>
      </c>
      <c r="J187" s="30">
        <f t="shared" ref="J187" si="86">H187*I187</f>
        <v>0</v>
      </c>
      <c r="L187">
        <f>B187</f>
        <v>0</v>
      </c>
      <c r="M187" s="37">
        <v>2.8</v>
      </c>
      <c r="N187" s="30">
        <f t="shared" si="76"/>
        <v>0</v>
      </c>
      <c r="O187" t="s">
        <v>527</v>
      </c>
      <c r="Q187">
        <f>B187</f>
        <v>0</v>
      </c>
      <c r="R187">
        <f t="shared" si="77"/>
        <v>0</v>
      </c>
    </row>
    <row r="188" spans="1:18" x14ac:dyDescent="0.25">
      <c r="A188" s="52"/>
      <c r="B188" s="4"/>
      <c r="C188" s="52"/>
      <c r="D188" s="66"/>
      <c r="I188" s="37"/>
      <c r="J188" s="30"/>
      <c r="M188" s="37"/>
      <c r="N188" s="30"/>
    </row>
    <row r="189" spans="1:18" x14ac:dyDescent="0.25">
      <c r="A189" s="41" t="s">
        <v>532</v>
      </c>
      <c r="B189" s="17"/>
      <c r="C189" s="60"/>
      <c r="D189" s="60"/>
      <c r="E189" s="25"/>
      <c r="H189">
        <f>B189</f>
        <v>0</v>
      </c>
      <c r="I189" s="37">
        <v>3.17</v>
      </c>
      <c r="J189" s="30">
        <f t="shared" ref="J189" si="87">H189*I189</f>
        <v>0</v>
      </c>
      <c r="L189">
        <f>B189</f>
        <v>0</v>
      </c>
      <c r="M189" s="37">
        <v>5.3</v>
      </c>
      <c r="N189" s="30">
        <f t="shared" ref="N189" si="88">L189*M189</f>
        <v>0</v>
      </c>
      <c r="O189" t="s">
        <v>533</v>
      </c>
      <c r="P189">
        <f>B189/1.5</f>
        <v>0</v>
      </c>
      <c r="Q189">
        <f>P189/10</f>
        <v>0</v>
      </c>
      <c r="R189">
        <f t="shared" si="77"/>
        <v>0</v>
      </c>
    </row>
    <row r="190" spans="1:18" x14ac:dyDescent="0.25">
      <c r="A190" s="52"/>
      <c r="B190" s="4"/>
      <c r="C190" s="52"/>
      <c r="D190" s="66"/>
      <c r="I190" s="37"/>
      <c r="J190" s="30"/>
      <c r="M190" s="37"/>
      <c r="N190" s="30"/>
    </row>
    <row r="191" spans="1:18" x14ac:dyDescent="0.25">
      <c r="A191" s="41" t="s">
        <v>203</v>
      </c>
      <c r="B191" s="54"/>
      <c r="C191" s="60"/>
      <c r="D191" s="60"/>
      <c r="I191" s="37">
        <f t="shared" ref="I191" si="89">(B192*(D192/100+1))</f>
        <v>0</v>
      </c>
      <c r="J191" s="30">
        <f>B191</f>
        <v>0</v>
      </c>
      <c r="M191" s="37"/>
      <c r="N191" s="30"/>
    </row>
    <row r="192" spans="1:18" x14ac:dyDescent="0.25">
      <c r="I192" s="37"/>
    </row>
    <row r="193" spans="1:18" x14ac:dyDescent="0.25">
      <c r="I193" s="37" t="s">
        <v>209</v>
      </c>
      <c r="J193" s="30">
        <f>SUM(J172:J191)</f>
        <v>0</v>
      </c>
      <c r="M193" t="s">
        <v>209</v>
      </c>
      <c r="N193" s="30">
        <f>SUM(N172:N192)</f>
        <v>0</v>
      </c>
    </row>
    <row r="194" spans="1:18" x14ac:dyDescent="0.25">
      <c r="A194" t="s">
        <v>153</v>
      </c>
      <c r="B194" s="30">
        <f>J193/((100-B195)/100)</f>
        <v>0</v>
      </c>
      <c r="I194" s="37"/>
    </row>
    <row r="195" spans="1:18" x14ac:dyDescent="0.25">
      <c r="A195" t="s">
        <v>169</v>
      </c>
      <c r="B195">
        <v>0</v>
      </c>
      <c r="I195" s="37"/>
    </row>
    <row r="196" spans="1:18" x14ac:dyDescent="0.25">
      <c r="I196" s="37"/>
    </row>
    <row r="197" spans="1:18" x14ac:dyDescent="0.25">
      <c r="A197" t="s">
        <v>210</v>
      </c>
      <c r="B197" s="30">
        <f>N193*((100+B198)/100)</f>
        <v>0</v>
      </c>
      <c r="I197" s="37"/>
    </row>
    <row r="198" spans="1:18" x14ac:dyDescent="0.25">
      <c r="A198" t="s">
        <v>154</v>
      </c>
      <c r="B198">
        <v>0</v>
      </c>
      <c r="I198" s="37"/>
    </row>
    <row r="201" spans="1:18" x14ac:dyDescent="0.25">
      <c r="A201" s="1" t="s">
        <v>112</v>
      </c>
      <c r="B201" s="1" t="s">
        <v>79</v>
      </c>
      <c r="I201" s="37"/>
    </row>
    <row r="202" spans="1:18" x14ac:dyDescent="0.25">
      <c r="A202" s="1" t="s">
        <v>487</v>
      </c>
      <c r="I202" s="37"/>
    </row>
    <row r="203" spans="1:18" x14ac:dyDescent="0.25">
      <c r="H203" s="1" t="s">
        <v>114</v>
      </c>
      <c r="I203" s="37"/>
      <c r="L203" s="1" t="s">
        <v>76</v>
      </c>
      <c r="P203" s="1" t="s">
        <v>144</v>
      </c>
    </row>
    <row r="204" spans="1:18" x14ac:dyDescent="0.25">
      <c r="B204" s="1" t="s">
        <v>196</v>
      </c>
      <c r="C204" s="1" t="s">
        <v>125</v>
      </c>
      <c r="D204" s="1" t="s">
        <v>221</v>
      </c>
      <c r="H204" t="s">
        <v>198</v>
      </c>
      <c r="I204" s="37" t="s">
        <v>126</v>
      </c>
      <c r="J204" t="s">
        <v>155</v>
      </c>
      <c r="L204" t="s">
        <v>198</v>
      </c>
      <c r="M204" t="s">
        <v>126</v>
      </c>
      <c r="N204" t="s">
        <v>155</v>
      </c>
      <c r="P204" t="s">
        <v>28</v>
      </c>
      <c r="Q204" t="s">
        <v>529</v>
      </c>
      <c r="R204" t="s">
        <v>530</v>
      </c>
    </row>
    <row r="205" spans="1:18" x14ac:dyDescent="0.25">
      <c r="A205" s="41" t="s">
        <v>523</v>
      </c>
      <c r="B205" s="53"/>
      <c r="C205" s="60"/>
      <c r="D205" s="60"/>
      <c r="E205" s="25"/>
      <c r="H205">
        <f>B205</f>
        <v>0</v>
      </c>
      <c r="I205" s="37">
        <f>(B206*(D206/100+1))+3</f>
        <v>3</v>
      </c>
      <c r="J205" s="30">
        <f>H205*I205</f>
        <v>0</v>
      </c>
      <c r="L205">
        <f>B205</f>
        <v>0</v>
      </c>
      <c r="M205" s="37">
        <v>38</v>
      </c>
      <c r="N205" s="30">
        <f>L205*M205</f>
        <v>0</v>
      </c>
      <c r="O205" t="s">
        <v>531</v>
      </c>
      <c r="P205">
        <f>B205*3</f>
        <v>0</v>
      </c>
      <c r="Q205">
        <f>P205/20</f>
        <v>0</v>
      </c>
      <c r="R205">
        <f>ROUNDUP(Q205,0)</f>
        <v>0</v>
      </c>
    </row>
    <row r="206" spans="1:18" x14ac:dyDescent="0.25">
      <c r="A206" s="41" t="s">
        <v>197</v>
      </c>
      <c r="B206" s="54"/>
      <c r="C206" s="41"/>
      <c r="D206" s="41">
        <v>10</v>
      </c>
      <c r="I206" s="37"/>
      <c r="J206" s="30">
        <f t="shared" ref="J206" si="90">H206*I206</f>
        <v>0</v>
      </c>
      <c r="M206" s="37"/>
      <c r="N206" s="30">
        <f t="shared" ref="N206:N220" si="91">L206*M206</f>
        <v>0</v>
      </c>
      <c r="R206">
        <f t="shared" ref="R206:R222" si="92">ROUNDUP(Q206,0)</f>
        <v>0</v>
      </c>
    </row>
    <row r="207" spans="1:18" x14ac:dyDescent="0.25">
      <c r="A207" s="52"/>
      <c r="B207" s="4"/>
      <c r="C207" s="52"/>
      <c r="D207" s="60"/>
      <c r="I207" s="37"/>
      <c r="J207" s="30"/>
      <c r="M207" s="37"/>
      <c r="N207" s="30">
        <f t="shared" si="91"/>
        <v>0</v>
      </c>
      <c r="R207">
        <f t="shared" si="92"/>
        <v>0</v>
      </c>
    </row>
    <row r="208" spans="1:18" x14ac:dyDescent="0.25">
      <c r="A208" s="41" t="s">
        <v>524</v>
      </c>
      <c r="B208" s="53"/>
      <c r="C208" s="60"/>
      <c r="D208" s="60"/>
      <c r="E208" s="25"/>
      <c r="H208">
        <f t="shared" ref="H208" si="93">B208</f>
        <v>0</v>
      </c>
      <c r="I208" s="37">
        <f t="shared" ref="I208" si="94">(B209*(D209/100+1))+3</f>
        <v>3</v>
      </c>
      <c r="J208" s="30">
        <f t="shared" ref="J208" si="95">H208*I208</f>
        <v>0</v>
      </c>
      <c r="L208">
        <f>B208</f>
        <v>0</v>
      </c>
      <c r="M208" s="37">
        <v>38</v>
      </c>
      <c r="N208" s="30">
        <f t="shared" si="91"/>
        <v>0</v>
      </c>
      <c r="O208" t="s">
        <v>531</v>
      </c>
      <c r="P208">
        <f>B208*3</f>
        <v>0</v>
      </c>
      <c r="Q208">
        <f t="shared" ref="Q208:Q211" si="96">P208/20</f>
        <v>0</v>
      </c>
      <c r="R208">
        <f t="shared" si="92"/>
        <v>0</v>
      </c>
    </row>
    <row r="209" spans="1:18" x14ac:dyDescent="0.25">
      <c r="A209" s="41" t="s">
        <v>197</v>
      </c>
      <c r="B209" s="54"/>
      <c r="C209" s="41"/>
      <c r="D209" s="41">
        <v>10</v>
      </c>
      <c r="I209" s="37"/>
      <c r="J209" s="30"/>
      <c r="M209" s="37"/>
      <c r="N209" s="30">
        <f t="shared" si="91"/>
        <v>0</v>
      </c>
      <c r="R209">
        <f t="shared" si="92"/>
        <v>0</v>
      </c>
    </row>
    <row r="210" spans="1:18" x14ac:dyDescent="0.25">
      <c r="A210" s="52"/>
      <c r="B210" s="4"/>
      <c r="C210" s="52"/>
      <c r="D210" s="60"/>
      <c r="I210" s="37"/>
      <c r="J210" s="30"/>
      <c r="M210" s="37"/>
      <c r="N210" s="30">
        <f t="shared" si="91"/>
        <v>0</v>
      </c>
      <c r="R210">
        <f t="shared" si="92"/>
        <v>0</v>
      </c>
    </row>
    <row r="211" spans="1:18" x14ac:dyDescent="0.25">
      <c r="A211" s="41" t="s">
        <v>535</v>
      </c>
      <c r="B211" s="53"/>
      <c r="C211" s="60"/>
      <c r="D211" s="60"/>
      <c r="E211" s="25" t="s">
        <v>528</v>
      </c>
      <c r="H211">
        <f>B211</f>
        <v>0</v>
      </c>
      <c r="I211" s="37">
        <f>(B212*(D212/100+1))</f>
        <v>0</v>
      </c>
      <c r="J211" s="30">
        <f t="shared" ref="J211" si="97">H211*I211</f>
        <v>0</v>
      </c>
      <c r="L211">
        <f>B211</f>
        <v>0</v>
      </c>
      <c r="M211" s="37">
        <v>75</v>
      </c>
      <c r="N211" s="30">
        <f t="shared" si="91"/>
        <v>0</v>
      </c>
      <c r="O211" t="s">
        <v>531</v>
      </c>
      <c r="P211">
        <f>B211*3</f>
        <v>0</v>
      </c>
      <c r="Q211">
        <f t="shared" si="96"/>
        <v>0</v>
      </c>
      <c r="R211">
        <f t="shared" si="92"/>
        <v>0</v>
      </c>
    </row>
    <row r="212" spans="1:18" x14ac:dyDescent="0.25">
      <c r="A212" s="41" t="s">
        <v>197</v>
      </c>
      <c r="B212" s="54"/>
      <c r="C212" s="41"/>
      <c r="D212" s="41">
        <v>10</v>
      </c>
      <c r="I212" s="37"/>
      <c r="J212" s="30"/>
      <c r="M212" s="37"/>
      <c r="N212" s="30">
        <f t="shared" si="91"/>
        <v>0</v>
      </c>
      <c r="R212">
        <f t="shared" si="92"/>
        <v>0</v>
      </c>
    </row>
    <row r="213" spans="1:18" x14ac:dyDescent="0.25">
      <c r="A213" s="52"/>
      <c r="B213" s="4"/>
      <c r="C213" s="52"/>
      <c r="D213" s="60"/>
      <c r="I213" s="37"/>
      <c r="J213" s="30"/>
      <c r="M213" s="37"/>
      <c r="N213" s="30">
        <f t="shared" si="91"/>
        <v>0</v>
      </c>
      <c r="R213">
        <f t="shared" si="92"/>
        <v>0</v>
      </c>
    </row>
    <row r="214" spans="1:18" x14ac:dyDescent="0.25">
      <c r="A214" s="41" t="s">
        <v>525</v>
      </c>
      <c r="B214" s="53"/>
      <c r="C214" s="60"/>
      <c r="D214" s="60"/>
      <c r="H214">
        <v>1</v>
      </c>
      <c r="I214" s="37">
        <f>B214*1.8*7.14</f>
        <v>0</v>
      </c>
      <c r="J214" s="30">
        <f t="shared" ref="J214" si="98">H214*I214</f>
        <v>0</v>
      </c>
      <c r="L214">
        <f>B214</f>
        <v>0</v>
      </c>
      <c r="M214" s="37">
        <v>14.04</v>
      </c>
      <c r="N214" s="30">
        <f t="shared" si="91"/>
        <v>0</v>
      </c>
      <c r="O214" t="s">
        <v>391</v>
      </c>
      <c r="P214">
        <f>B214*1.8</f>
        <v>0</v>
      </c>
      <c r="Q214">
        <f>P214/15</f>
        <v>0</v>
      </c>
      <c r="R214">
        <f t="shared" si="92"/>
        <v>0</v>
      </c>
    </row>
    <row r="215" spans="1:18" x14ac:dyDescent="0.25">
      <c r="A215" s="52"/>
      <c r="B215" s="4"/>
      <c r="C215" s="52"/>
      <c r="D215" s="60"/>
      <c r="I215" s="37"/>
      <c r="M215" s="37"/>
      <c r="N215" s="30">
        <f t="shared" si="91"/>
        <v>0</v>
      </c>
      <c r="R215">
        <f t="shared" si="92"/>
        <v>0</v>
      </c>
    </row>
    <row r="216" spans="1:18" x14ac:dyDescent="0.25">
      <c r="A216" s="41" t="s">
        <v>526</v>
      </c>
      <c r="B216" s="53"/>
      <c r="C216" s="60"/>
      <c r="D216" s="60"/>
      <c r="H216">
        <f>B216</f>
        <v>0</v>
      </c>
      <c r="I216" s="37">
        <v>0.51</v>
      </c>
      <c r="J216" s="30">
        <f>H216*I216*1.1</f>
        <v>0</v>
      </c>
      <c r="L216">
        <f t="shared" ref="L216" si="99">B216</f>
        <v>0</v>
      </c>
      <c r="M216" s="37">
        <v>2.8</v>
      </c>
      <c r="N216" s="30">
        <f t="shared" si="91"/>
        <v>0</v>
      </c>
      <c r="O216" t="s">
        <v>534</v>
      </c>
      <c r="P216">
        <f>B216</f>
        <v>0</v>
      </c>
      <c r="Q216">
        <f>P216/40</f>
        <v>0</v>
      </c>
      <c r="R216">
        <f t="shared" si="92"/>
        <v>0</v>
      </c>
    </row>
    <row r="217" spans="1:18" x14ac:dyDescent="0.25">
      <c r="A217" s="52"/>
      <c r="B217" s="4"/>
      <c r="C217" s="52"/>
      <c r="D217" s="65"/>
      <c r="I217" s="37"/>
      <c r="J217" s="30"/>
      <c r="M217" s="37"/>
      <c r="N217" s="30">
        <f t="shared" si="91"/>
        <v>0</v>
      </c>
      <c r="R217">
        <f t="shared" si="92"/>
        <v>0</v>
      </c>
    </row>
    <row r="218" spans="1:18" x14ac:dyDescent="0.25">
      <c r="A218" s="41" t="s">
        <v>396</v>
      </c>
      <c r="B218" s="17"/>
      <c r="C218" s="60"/>
      <c r="D218" s="60"/>
      <c r="H218">
        <f>B218</f>
        <v>0</v>
      </c>
      <c r="I218" s="37">
        <f>10.35</f>
        <v>10.35</v>
      </c>
      <c r="J218" s="30">
        <f>H218*I218</f>
        <v>0</v>
      </c>
      <c r="L218">
        <f t="shared" ref="L218" si="100">B218</f>
        <v>0</v>
      </c>
      <c r="M218" s="37">
        <v>4.4000000000000004</v>
      </c>
      <c r="N218" s="30">
        <f t="shared" si="91"/>
        <v>0</v>
      </c>
      <c r="O218" t="s">
        <v>396</v>
      </c>
      <c r="Q218">
        <f>B218</f>
        <v>0</v>
      </c>
      <c r="R218">
        <f t="shared" si="92"/>
        <v>0</v>
      </c>
    </row>
    <row r="219" spans="1:18" x14ac:dyDescent="0.25">
      <c r="A219" s="52"/>
      <c r="B219" s="4"/>
      <c r="C219" s="52"/>
      <c r="D219" s="52"/>
      <c r="I219" s="37"/>
      <c r="J219" s="30"/>
      <c r="M219" s="37"/>
      <c r="N219" s="30">
        <f t="shared" si="91"/>
        <v>0</v>
      </c>
      <c r="R219">
        <f t="shared" si="92"/>
        <v>0</v>
      </c>
    </row>
    <row r="220" spans="1:18" x14ac:dyDescent="0.25">
      <c r="A220" s="41" t="s">
        <v>527</v>
      </c>
      <c r="B220" s="17"/>
      <c r="C220" s="60"/>
      <c r="D220" s="60"/>
      <c r="E220" s="25"/>
      <c r="H220">
        <f>B220</f>
        <v>0</v>
      </c>
      <c r="I220" s="37">
        <v>10.42</v>
      </c>
      <c r="J220" s="30">
        <f t="shared" ref="J220" si="101">H220*I220</f>
        <v>0</v>
      </c>
      <c r="L220">
        <f>B220</f>
        <v>0</v>
      </c>
      <c r="M220" s="37">
        <v>2.8</v>
      </c>
      <c r="N220" s="30">
        <f t="shared" si="91"/>
        <v>0</v>
      </c>
      <c r="O220" t="s">
        <v>527</v>
      </c>
      <c r="Q220">
        <f>B220</f>
        <v>0</v>
      </c>
      <c r="R220">
        <f t="shared" si="92"/>
        <v>0</v>
      </c>
    </row>
    <row r="221" spans="1:18" x14ac:dyDescent="0.25">
      <c r="A221" s="52"/>
      <c r="B221" s="4"/>
      <c r="C221" s="52"/>
      <c r="D221" s="66"/>
      <c r="I221" s="37"/>
      <c r="J221" s="30"/>
      <c r="M221" s="37"/>
      <c r="N221" s="30"/>
    </row>
    <row r="222" spans="1:18" x14ac:dyDescent="0.25">
      <c r="A222" s="41" t="s">
        <v>532</v>
      </c>
      <c r="B222" s="17"/>
      <c r="C222" s="60"/>
      <c r="D222" s="60"/>
      <c r="E222" s="25"/>
      <c r="H222">
        <f>B222</f>
        <v>0</v>
      </c>
      <c r="I222" s="37">
        <v>3.17</v>
      </c>
      <c r="J222" s="30">
        <f t="shared" ref="J222" si="102">H222*I222</f>
        <v>0</v>
      </c>
      <c r="L222">
        <f>B222</f>
        <v>0</v>
      </c>
      <c r="M222" s="37">
        <v>5.3</v>
      </c>
      <c r="N222" s="30">
        <f t="shared" ref="N222" si="103">L222*M222</f>
        <v>0</v>
      </c>
      <c r="O222" t="s">
        <v>533</v>
      </c>
      <c r="P222">
        <f>B222/1.5</f>
        <v>0</v>
      </c>
      <c r="Q222">
        <f>P222/10</f>
        <v>0</v>
      </c>
      <c r="R222">
        <f t="shared" si="92"/>
        <v>0</v>
      </c>
    </row>
    <row r="223" spans="1:18" x14ac:dyDescent="0.25">
      <c r="A223" s="52"/>
      <c r="B223" s="4"/>
      <c r="C223" s="52"/>
      <c r="D223" s="66"/>
      <c r="I223" s="37"/>
      <c r="J223" s="30"/>
      <c r="M223" s="37"/>
      <c r="N223" s="30"/>
    </row>
    <row r="224" spans="1:18" x14ac:dyDescent="0.25">
      <c r="A224" s="41" t="s">
        <v>203</v>
      </c>
      <c r="B224" s="54"/>
      <c r="C224" s="60"/>
      <c r="D224" s="60"/>
      <c r="I224" s="37">
        <f t="shared" ref="I224" si="104">(B225*(D225/100+1))</f>
        <v>0</v>
      </c>
      <c r="J224" s="30">
        <f>B224</f>
        <v>0</v>
      </c>
      <c r="M224" s="37"/>
      <c r="N224" s="30"/>
    </row>
    <row r="225" spans="1:18" x14ac:dyDescent="0.25">
      <c r="I225" s="37"/>
    </row>
    <row r="226" spans="1:18" x14ac:dyDescent="0.25">
      <c r="I226" s="37" t="s">
        <v>209</v>
      </c>
      <c r="J226" s="30">
        <f>SUM(J205:J224)</f>
        <v>0</v>
      </c>
      <c r="M226" t="s">
        <v>209</v>
      </c>
      <c r="N226" s="30">
        <f>SUM(N205:N225)</f>
        <v>0</v>
      </c>
    </row>
    <row r="227" spans="1:18" x14ac:dyDescent="0.25">
      <c r="A227" t="s">
        <v>153</v>
      </c>
      <c r="B227" s="30">
        <f>J226/((100-B228)/100)</f>
        <v>0</v>
      </c>
      <c r="I227" s="37"/>
    </row>
    <row r="228" spans="1:18" x14ac:dyDescent="0.25">
      <c r="A228" t="s">
        <v>169</v>
      </c>
      <c r="B228">
        <v>0</v>
      </c>
      <c r="I228" s="37"/>
    </row>
    <row r="229" spans="1:18" x14ac:dyDescent="0.25">
      <c r="I229" s="37"/>
    </row>
    <row r="230" spans="1:18" x14ac:dyDescent="0.25">
      <c r="A230" t="s">
        <v>210</v>
      </c>
      <c r="B230" s="30">
        <f>N226*((100+B231)/100)</f>
        <v>0</v>
      </c>
      <c r="I230" s="37"/>
    </row>
    <row r="231" spans="1:18" x14ac:dyDescent="0.25">
      <c r="A231" t="s">
        <v>154</v>
      </c>
      <c r="B231">
        <v>0</v>
      </c>
      <c r="I231" s="37"/>
    </row>
    <row r="234" spans="1:18" x14ac:dyDescent="0.25">
      <c r="A234" s="1" t="s">
        <v>113</v>
      </c>
      <c r="B234" s="1" t="s">
        <v>79</v>
      </c>
      <c r="I234" s="37"/>
    </row>
    <row r="235" spans="1:18" x14ac:dyDescent="0.25">
      <c r="A235" s="1" t="s">
        <v>487</v>
      </c>
      <c r="I235" s="37"/>
    </row>
    <row r="236" spans="1:18" x14ac:dyDescent="0.25">
      <c r="H236" s="1" t="s">
        <v>114</v>
      </c>
      <c r="I236" s="37"/>
      <c r="L236" s="1" t="s">
        <v>76</v>
      </c>
      <c r="P236" s="1" t="s">
        <v>144</v>
      </c>
    </row>
    <row r="237" spans="1:18" x14ac:dyDescent="0.25">
      <c r="B237" s="1" t="s">
        <v>196</v>
      </c>
      <c r="C237" s="1" t="s">
        <v>125</v>
      </c>
      <c r="D237" s="1" t="s">
        <v>221</v>
      </c>
      <c r="H237" t="s">
        <v>198</v>
      </c>
      <c r="I237" s="37" t="s">
        <v>126</v>
      </c>
      <c r="J237" t="s">
        <v>155</v>
      </c>
      <c r="L237" t="s">
        <v>198</v>
      </c>
      <c r="M237" t="s">
        <v>126</v>
      </c>
      <c r="N237" t="s">
        <v>155</v>
      </c>
      <c r="P237" t="s">
        <v>28</v>
      </c>
      <c r="Q237" t="s">
        <v>529</v>
      </c>
      <c r="R237" t="s">
        <v>530</v>
      </c>
    </row>
    <row r="238" spans="1:18" x14ac:dyDescent="0.25">
      <c r="A238" s="41" t="s">
        <v>523</v>
      </c>
      <c r="B238" s="53"/>
      <c r="C238" s="60"/>
      <c r="D238" s="60"/>
      <c r="E238" s="25"/>
      <c r="H238">
        <f>B238</f>
        <v>0</v>
      </c>
      <c r="I238" s="37">
        <f>(B239*(D239/100+1))+3</f>
        <v>3</v>
      </c>
      <c r="J238" s="30">
        <f>H238*I238</f>
        <v>0</v>
      </c>
      <c r="L238">
        <f>B238</f>
        <v>0</v>
      </c>
      <c r="M238" s="37">
        <v>38</v>
      </c>
      <c r="N238" s="30">
        <f>L238*M238</f>
        <v>0</v>
      </c>
      <c r="O238" t="s">
        <v>531</v>
      </c>
      <c r="P238">
        <f>B238*3</f>
        <v>0</v>
      </c>
      <c r="Q238">
        <f>P238/20</f>
        <v>0</v>
      </c>
      <c r="R238">
        <f>ROUNDUP(Q238,0)</f>
        <v>0</v>
      </c>
    </row>
    <row r="239" spans="1:18" x14ac:dyDescent="0.25">
      <c r="A239" s="41" t="s">
        <v>197</v>
      </c>
      <c r="B239" s="54"/>
      <c r="C239" s="41"/>
      <c r="D239" s="41">
        <v>10</v>
      </c>
      <c r="I239" s="37"/>
      <c r="J239" s="30">
        <f t="shared" ref="J239" si="105">H239*I239</f>
        <v>0</v>
      </c>
      <c r="M239" s="37"/>
      <c r="N239" s="30">
        <f t="shared" ref="N239:N253" si="106">L239*M239</f>
        <v>0</v>
      </c>
      <c r="R239">
        <f t="shared" ref="R239:R255" si="107">ROUNDUP(Q239,0)</f>
        <v>0</v>
      </c>
    </row>
    <row r="240" spans="1:18" x14ac:dyDescent="0.25">
      <c r="A240" s="52"/>
      <c r="B240" s="4"/>
      <c r="C240" s="52"/>
      <c r="D240" s="60"/>
      <c r="I240" s="37"/>
      <c r="J240" s="30"/>
      <c r="M240" s="37"/>
      <c r="N240" s="30">
        <f t="shared" si="106"/>
        <v>0</v>
      </c>
      <c r="R240">
        <f t="shared" si="107"/>
        <v>0</v>
      </c>
    </row>
    <row r="241" spans="1:18" x14ac:dyDescent="0.25">
      <c r="A241" s="41" t="s">
        <v>524</v>
      </c>
      <c r="B241" s="53"/>
      <c r="C241" s="60"/>
      <c r="D241" s="60"/>
      <c r="E241" s="25"/>
      <c r="H241">
        <f t="shared" ref="H241" si="108">B241</f>
        <v>0</v>
      </c>
      <c r="I241" s="37">
        <f t="shared" ref="I241" si="109">(B242*(D242/100+1))+3</f>
        <v>3</v>
      </c>
      <c r="J241" s="30">
        <f t="shared" ref="J241" si="110">H241*I241</f>
        <v>0</v>
      </c>
      <c r="L241">
        <f>B241</f>
        <v>0</v>
      </c>
      <c r="M241" s="37">
        <v>38</v>
      </c>
      <c r="N241" s="30">
        <f t="shared" si="106"/>
        <v>0</v>
      </c>
      <c r="O241" t="s">
        <v>531</v>
      </c>
      <c r="P241">
        <f>B241*3</f>
        <v>0</v>
      </c>
      <c r="Q241">
        <f t="shared" ref="Q241:Q244" si="111">P241/20</f>
        <v>0</v>
      </c>
      <c r="R241">
        <f t="shared" si="107"/>
        <v>0</v>
      </c>
    </row>
    <row r="242" spans="1:18" x14ac:dyDescent="0.25">
      <c r="A242" s="41" t="s">
        <v>197</v>
      </c>
      <c r="B242" s="54"/>
      <c r="C242" s="41"/>
      <c r="D242" s="41">
        <v>10</v>
      </c>
      <c r="I242" s="37"/>
      <c r="J242" s="30"/>
      <c r="M242" s="37"/>
      <c r="N242" s="30">
        <f t="shared" si="106"/>
        <v>0</v>
      </c>
      <c r="R242">
        <f t="shared" si="107"/>
        <v>0</v>
      </c>
    </row>
    <row r="243" spans="1:18" x14ac:dyDescent="0.25">
      <c r="A243" s="52"/>
      <c r="B243" s="4"/>
      <c r="C243" s="52"/>
      <c r="D243" s="60"/>
      <c r="I243" s="37"/>
      <c r="J243" s="30"/>
      <c r="M243" s="37"/>
      <c r="N243" s="30">
        <f t="shared" si="106"/>
        <v>0</v>
      </c>
      <c r="R243">
        <f t="shared" si="107"/>
        <v>0</v>
      </c>
    </row>
    <row r="244" spans="1:18" x14ac:dyDescent="0.25">
      <c r="A244" s="41" t="s">
        <v>535</v>
      </c>
      <c r="B244" s="53"/>
      <c r="C244" s="60"/>
      <c r="D244" s="60"/>
      <c r="E244" s="25" t="s">
        <v>528</v>
      </c>
      <c r="H244">
        <f>B244</f>
        <v>0</v>
      </c>
      <c r="I244" s="37">
        <f>(B245*(D245/100+1))</f>
        <v>0</v>
      </c>
      <c r="J244" s="30">
        <f t="shared" ref="J244" si="112">H244*I244</f>
        <v>0</v>
      </c>
      <c r="L244">
        <f>B244</f>
        <v>0</v>
      </c>
      <c r="M244" s="37">
        <v>75</v>
      </c>
      <c r="N244" s="30">
        <f t="shared" si="106"/>
        <v>0</v>
      </c>
      <c r="O244" t="s">
        <v>531</v>
      </c>
      <c r="P244">
        <f>B244*3</f>
        <v>0</v>
      </c>
      <c r="Q244">
        <f t="shared" si="111"/>
        <v>0</v>
      </c>
      <c r="R244">
        <f t="shared" si="107"/>
        <v>0</v>
      </c>
    </row>
    <row r="245" spans="1:18" x14ac:dyDescent="0.25">
      <c r="A245" s="41" t="s">
        <v>197</v>
      </c>
      <c r="B245" s="54"/>
      <c r="C245" s="41"/>
      <c r="D245" s="41">
        <v>10</v>
      </c>
      <c r="I245" s="37"/>
      <c r="J245" s="30"/>
      <c r="M245" s="37"/>
      <c r="N245" s="30">
        <f t="shared" si="106"/>
        <v>0</v>
      </c>
      <c r="R245">
        <f t="shared" si="107"/>
        <v>0</v>
      </c>
    </row>
    <row r="246" spans="1:18" x14ac:dyDescent="0.25">
      <c r="A246" s="52"/>
      <c r="B246" s="4"/>
      <c r="C246" s="52"/>
      <c r="D246" s="60"/>
      <c r="I246" s="37"/>
      <c r="J246" s="30"/>
      <c r="M246" s="37"/>
      <c r="N246" s="30">
        <f t="shared" si="106"/>
        <v>0</v>
      </c>
      <c r="R246">
        <f t="shared" si="107"/>
        <v>0</v>
      </c>
    </row>
    <row r="247" spans="1:18" x14ac:dyDescent="0.25">
      <c r="A247" s="41" t="s">
        <v>525</v>
      </c>
      <c r="B247" s="53"/>
      <c r="C247" s="60"/>
      <c r="D247" s="60"/>
      <c r="H247">
        <v>1</v>
      </c>
      <c r="I247" s="37">
        <f>B247*1.8*7.14</f>
        <v>0</v>
      </c>
      <c r="J247" s="30">
        <f t="shared" ref="J247" si="113">H247*I247</f>
        <v>0</v>
      </c>
      <c r="L247">
        <f>B247</f>
        <v>0</v>
      </c>
      <c r="M247" s="37">
        <v>14.04</v>
      </c>
      <c r="N247" s="30">
        <f t="shared" si="106"/>
        <v>0</v>
      </c>
      <c r="O247" t="s">
        <v>391</v>
      </c>
      <c r="P247">
        <f>B247*1.8</f>
        <v>0</v>
      </c>
      <c r="Q247">
        <f>P247/15</f>
        <v>0</v>
      </c>
      <c r="R247">
        <f t="shared" si="107"/>
        <v>0</v>
      </c>
    </row>
    <row r="248" spans="1:18" x14ac:dyDescent="0.25">
      <c r="A248" s="52"/>
      <c r="B248" s="4"/>
      <c r="C248" s="52"/>
      <c r="D248" s="60"/>
      <c r="I248" s="37"/>
      <c r="M248" s="37"/>
      <c r="N248" s="30">
        <f t="shared" si="106"/>
        <v>0</v>
      </c>
      <c r="R248">
        <f t="shared" si="107"/>
        <v>0</v>
      </c>
    </row>
    <row r="249" spans="1:18" x14ac:dyDescent="0.25">
      <c r="A249" s="41" t="s">
        <v>526</v>
      </c>
      <c r="B249" s="53"/>
      <c r="C249" s="60"/>
      <c r="D249" s="60"/>
      <c r="H249">
        <f>B249</f>
        <v>0</v>
      </c>
      <c r="I249" s="37">
        <v>0.51</v>
      </c>
      <c r="J249" s="30">
        <f>H249*I249*1.1</f>
        <v>0</v>
      </c>
      <c r="L249">
        <f t="shared" ref="L249" si="114">B249</f>
        <v>0</v>
      </c>
      <c r="M249" s="37">
        <v>2.8</v>
      </c>
      <c r="N249" s="30">
        <f t="shared" si="106"/>
        <v>0</v>
      </c>
      <c r="O249" t="s">
        <v>534</v>
      </c>
      <c r="P249">
        <f>B249</f>
        <v>0</v>
      </c>
      <c r="Q249">
        <f>P249/40</f>
        <v>0</v>
      </c>
      <c r="R249">
        <f t="shared" si="107"/>
        <v>0</v>
      </c>
    </row>
    <row r="250" spans="1:18" x14ac:dyDescent="0.25">
      <c r="A250" s="52"/>
      <c r="B250" s="4"/>
      <c r="C250" s="52"/>
      <c r="D250" s="65"/>
      <c r="I250" s="37"/>
      <c r="J250" s="30"/>
      <c r="M250" s="37"/>
      <c r="N250" s="30">
        <f t="shared" si="106"/>
        <v>0</v>
      </c>
      <c r="R250">
        <f t="shared" si="107"/>
        <v>0</v>
      </c>
    </row>
    <row r="251" spans="1:18" x14ac:dyDescent="0.25">
      <c r="A251" s="41" t="s">
        <v>396</v>
      </c>
      <c r="B251" s="17"/>
      <c r="C251" s="60"/>
      <c r="D251" s="60"/>
      <c r="H251">
        <f>B251</f>
        <v>0</v>
      </c>
      <c r="I251" s="37">
        <f>10.35</f>
        <v>10.35</v>
      </c>
      <c r="J251" s="30">
        <f>H251*I251</f>
        <v>0</v>
      </c>
      <c r="L251">
        <f t="shared" ref="L251" si="115">B251</f>
        <v>0</v>
      </c>
      <c r="M251" s="37">
        <v>4.4000000000000004</v>
      </c>
      <c r="N251" s="30">
        <f t="shared" si="106"/>
        <v>0</v>
      </c>
      <c r="O251" t="s">
        <v>396</v>
      </c>
      <c r="Q251">
        <f>B251</f>
        <v>0</v>
      </c>
      <c r="R251">
        <f t="shared" si="107"/>
        <v>0</v>
      </c>
    </row>
    <row r="252" spans="1:18" x14ac:dyDescent="0.25">
      <c r="A252" s="52"/>
      <c r="B252" s="4"/>
      <c r="C252" s="52"/>
      <c r="D252" s="52"/>
      <c r="I252" s="37"/>
      <c r="J252" s="30"/>
      <c r="M252" s="37"/>
      <c r="N252" s="30">
        <f t="shared" si="106"/>
        <v>0</v>
      </c>
      <c r="R252">
        <f t="shared" si="107"/>
        <v>0</v>
      </c>
    </row>
    <row r="253" spans="1:18" x14ac:dyDescent="0.25">
      <c r="A253" s="41" t="s">
        <v>527</v>
      </c>
      <c r="B253" s="17"/>
      <c r="C253" s="60"/>
      <c r="D253" s="60"/>
      <c r="E253" s="25"/>
      <c r="H253">
        <f>B253</f>
        <v>0</v>
      </c>
      <c r="I253" s="37">
        <v>10.42</v>
      </c>
      <c r="J253" s="30">
        <f t="shared" ref="J253" si="116">H253*I253</f>
        <v>0</v>
      </c>
      <c r="L253">
        <f>B253</f>
        <v>0</v>
      </c>
      <c r="M253" s="37">
        <v>2.8</v>
      </c>
      <c r="N253" s="30">
        <f t="shared" si="106"/>
        <v>0</v>
      </c>
      <c r="O253" t="s">
        <v>527</v>
      </c>
      <c r="Q253">
        <f>B253</f>
        <v>0</v>
      </c>
      <c r="R253">
        <f t="shared" si="107"/>
        <v>0</v>
      </c>
    </row>
    <row r="254" spans="1:18" x14ac:dyDescent="0.25">
      <c r="A254" s="52"/>
      <c r="B254" s="4"/>
      <c r="C254" s="52"/>
      <c r="D254" s="66"/>
      <c r="I254" s="37"/>
      <c r="J254" s="30"/>
      <c r="M254" s="37"/>
      <c r="N254" s="30"/>
    </row>
    <row r="255" spans="1:18" x14ac:dyDescent="0.25">
      <c r="A255" s="41" t="s">
        <v>532</v>
      </c>
      <c r="B255" s="17"/>
      <c r="C255" s="60"/>
      <c r="D255" s="60"/>
      <c r="E255" s="25"/>
      <c r="H255">
        <f>B255</f>
        <v>0</v>
      </c>
      <c r="I255" s="37">
        <v>3.17</v>
      </c>
      <c r="J255" s="30">
        <f t="shared" ref="J255" si="117">H255*I255</f>
        <v>0</v>
      </c>
      <c r="L255">
        <f>B255</f>
        <v>0</v>
      </c>
      <c r="M255" s="37">
        <v>5.3</v>
      </c>
      <c r="N255" s="30">
        <f t="shared" ref="N255" si="118">L255*M255</f>
        <v>0</v>
      </c>
      <c r="O255" t="s">
        <v>533</v>
      </c>
      <c r="P255">
        <f>B255/1.5</f>
        <v>0</v>
      </c>
      <c r="Q255">
        <f>P255/10</f>
        <v>0</v>
      </c>
      <c r="R255">
        <f t="shared" si="107"/>
        <v>0</v>
      </c>
    </row>
    <row r="256" spans="1:18" x14ac:dyDescent="0.25">
      <c r="A256" s="52"/>
      <c r="B256" s="4"/>
      <c r="C256" s="52"/>
      <c r="D256" s="66"/>
      <c r="I256" s="37"/>
      <c r="J256" s="30"/>
      <c r="M256" s="37"/>
      <c r="N256" s="30"/>
    </row>
    <row r="257" spans="1:18" x14ac:dyDescent="0.25">
      <c r="A257" s="41" t="s">
        <v>203</v>
      </c>
      <c r="B257" s="54"/>
      <c r="C257" s="60"/>
      <c r="D257" s="60"/>
      <c r="I257" s="37">
        <f t="shared" ref="I257" si="119">(B258*(D258/100+1))</f>
        <v>0</v>
      </c>
      <c r="J257" s="30">
        <f>B257</f>
        <v>0</v>
      </c>
      <c r="M257" s="37"/>
      <c r="N257" s="30"/>
    </row>
    <row r="258" spans="1:18" x14ac:dyDescent="0.25">
      <c r="I258" s="37"/>
    </row>
    <row r="259" spans="1:18" x14ac:dyDescent="0.25">
      <c r="I259" s="37" t="s">
        <v>209</v>
      </c>
      <c r="J259" s="30">
        <f>SUM(J238:J257)</f>
        <v>0</v>
      </c>
      <c r="M259" t="s">
        <v>209</v>
      </c>
      <c r="N259" s="30">
        <f>SUM(N238:N258)</f>
        <v>0</v>
      </c>
    </row>
    <row r="260" spans="1:18" x14ac:dyDescent="0.25">
      <c r="A260" t="s">
        <v>153</v>
      </c>
      <c r="B260" s="30">
        <f>J259/((100-B261)/100)</f>
        <v>0</v>
      </c>
      <c r="I260" s="37"/>
    </row>
    <row r="261" spans="1:18" x14ac:dyDescent="0.25">
      <c r="A261" t="s">
        <v>169</v>
      </c>
      <c r="B261">
        <v>0</v>
      </c>
      <c r="I261" s="37"/>
    </row>
    <row r="262" spans="1:18" x14ac:dyDescent="0.25">
      <c r="I262" s="37"/>
    </row>
    <row r="263" spans="1:18" x14ac:dyDescent="0.25">
      <c r="A263" t="s">
        <v>210</v>
      </c>
      <c r="B263" s="30">
        <f>N259*((100+B264)/100)</f>
        <v>0</v>
      </c>
      <c r="I263" s="37"/>
    </row>
    <row r="264" spans="1:18" x14ac:dyDescent="0.25">
      <c r="A264" t="s">
        <v>154</v>
      </c>
      <c r="B264">
        <v>0</v>
      </c>
      <c r="I264" s="37"/>
    </row>
    <row r="267" spans="1:18" x14ac:dyDescent="0.25">
      <c r="A267" s="1" t="s">
        <v>163</v>
      </c>
      <c r="B267" s="1" t="s">
        <v>79</v>
      </c>
      <c r="I267" s="37"/>
    </row>
    <row r="268" spans="1:18" x14ac:dyDescent="0.25">
      <c r="A268" s="1" t="s">
        <v>487</v>
      </c>
      <c r="I268" s="37"/>
    </row>
    <row r="269" spans="1:18" x14ac:dyDescent="0.25">
      <c r="H269" s="1" t="s">
        <v>114</v>
      </c>
      <c r="I269" s="37"/>
      <c r="L269" s="1" t="s">
        <v>76</v>
      </c>
      <c r="P269" s="1" t="s">
        <v>144</v>
      </c>
    </row>
    <row r="270" spans="1:18" x14ac:dyDescent="0.25">
      <c r="B270" s="1" t="s">
        <v>196</v>
      </c>
      <c r="C270" s="1" t="s">
        <v>125</v>
      </c>
      <c r="D270" s="1" t="s">
        <v>221</v>
      </c>
      <c r="H270" t="s">
        <v>198</v>
      </c>
      <c r="I270" s="37" t="s">
        <v>126</v>
      </c>
      <c r="J270" t="s">
        <v>155</v>
      </c>
      <c r="L270" t="s">
        <v>198</v>
      </c>
      <c r="M270" t="s">
        <v>126</v>
      </c>
      <c r="N270" t="s">
        <v>155</v>
      </c>
      <c r="P270" t="s">
        <v>28</v>
      </c>
      <c r="Q270" t="s">
        <v>529</v>
      </c>
      <c r="R270" t="s">
        <v>530</v>
      </c>
    </row>
    <row r="271" spans="1:18" x14ac:dyDescent="0.25">
      <c r="A271" s="41" t="s">
        <v>523</v>
      </c>
      <c r="B271" s="53"/>
      <c r="C271" s="60"/>
      <c r="D271" s="60"/>
      <c r="E271" s="25"/>
      <c r="H271">
        <f>B271</f>
        <v>0</v>
      </c>
      <c r="I271" s="37">
        <f>(B272*(D272/100+1))+3</f>
        <v>3</v>
      </c>
      <c r="J271" s="30">
        <f>H271*I271</f>
        <v>0</v>
      </c>
      <c r="L271">
        <f>B271</f>
        <v>0</v>
      </c>
      <c r="M271" s="37">
        <v>38</v>
      </c>
      <c r="N271" s="30">
        <f>L271*M271</f>
        <v>0</v>
      </c>
      <c r="O271" t="s">
        <v>531</v>
      </c>
      <c r="P271">
        <f>B271*3</f>
        <v>0</v>
      </c>
      <c r="Q271">
        <f>P271/20</f>
        <v>0</v>
      </c>
      <c r="R271">
        <f>ROUNDUP(Q271,0)</f>
        <v>0</v>
      </c>
    </row>
    <row r="272" spans="1:18" x14ac:dyDescent="0.25">
      <c r="A272" s="41" t="s">
        <v>197</v>
      </c>
      <c r="B272" s="54"/>
      <c r="C272" s="41"/>
      <c r="D272" s="41">
        <v>10</v>
      </c>
      <c r="I272" s="37"/>
      <c r="J272" s="30">
        <f t="shared" ref="J272" si="120">H272*I272</f>
        <v>0</v>
      </c>
      <c r="M272" s="37"/>
      <c r="N272" s="30">
        <f t="shared" ref="N272:N286" si="121">L272*M272</f>
        <v>0</v>
      </c>
      <c r="R272">
        <f t="shared" ref="R272:R288" si="122">ROUNDUP(Q272,0)</f>
        <v>0</v>
      </c>
    </row>
    <row r="273" spans="1:18" x14ac:dyDescent="0.25">
      <c r="A273" s="52"/>
      <c r="B273" s="4"/>
      <c r="C273" s="52"/>
      <c r="D273" s="60"/>
      <c r="I273" s="37"/>
      <c r="J273" s="30"/>
      <c r="M273" s="37"/>
      <c r="N273" s="30">
        <f t="shared" si="121"/>
        <v>0</v>
      </c>
      <c r="R273">
        <f t="shared" si="122"/>
        <v>0</v>
      </c>
    </row>
    <row r="274" spans="1:18" x14ac:dyDescent="0.25">
      <c r="A274" s="41" t="s">
        <v>524</v>
      </c>
      <c r="B274" s="53"/>
      <c r="C274" s="60"/>
      <c r="D274" s="60"/>
      <c r="E274" s="25"/>
      <c r="H274">
        <f t="shared" ref="H274" si="123">B274</f>
        <v>0</v>
      </c>
      <c r="I274" s="37">
        <f t="shared" ref="I274" si="124">(B275*(D275/100+1))+3</f>
        <v>3</v>
      </c>
      <c r="J274" s="30">
        <f t="shared" ref="J274" si="125">H274*I274</f>
        <v>0</v>
      </c>
      <c r="L274">
        <f>B274</f>
        <v>0</v>
      </c>
      <c r="M274" s="37">
        <v>38</v>
      </c>
      <c r="N274" s="30">
        <f t="shared" si="121"/>
        <v>0</v>
      </c>
      <c r="O274" t="s">
        <v>531</v>
      </c>
      <c r="P274">
        <f>B274*3</f>
        <v>0</v>
      </c>
      <c r="Q274">
        <f t="shared" ref="Q274:Q277" si="126">P274/20</f>
        <v>0</v>
      </c>
      <c r="R274">
        <f t="shared" si="122"/>
        <v>0</v>
      </c>
    </row>
    <row r="275" spans="1:18" x14ac:dyDescent="0.25">
      <c r="A275" s="41" t="s">
        <v>197</v>
      </c>
      <c r="B275" s="54"/>
      <c r="C275" s="41"/>
      <c r="D275" s="41">
        <v>10</v>
      </c>
      <c r="I275" s="37"/>
      <c r="J275" s="30"/>
      <c r="M275" s="37"/>
      <c r="N275" s="30">
        <f t="shared" si="121"/>
        <v>0</v>
      </c>
      <c r="R275">
        <f t="shared" si="122"/>
        <v>0</v>
      </c>
    </row>
    <row r="276" spans="1:18" x14ac:dyDescent="0.25">
      <c r="A276" s="52"/>
      <c r="B276" s="4"/>
      <c r="C276" s="52"/>
      <c r="D276" s="60"/>
      <c r="I276" s="37"/>
      <c r="J276" s="30"/>
      <c r="M276" s="37"/>
      <c r="N276" s="30">
        <f t="shared" si="121"/>
        <v>0</v>
      </c>
      <c r="R276">
        <f t="shared" si="122"/>
        <v>0</v>
      </c>
    </row>
    <row r="277" spans="1:18" x14ac:dyDescent="0.25">
      <c r="A277" s="41" t="s">
        <v>535</v>
      </c>
      <c r="B277" s="53"/>
      <c r="C277" s="60"/>
      <c r="D277" s="60"/>
      <c r="E277" s="25" t="s">
        <v>528</v>
      </c>
      <c r="H277">
        <f>B277</f>
        <v>0</v>
      </c>
      <c r="I277" s="37">
        <f>(B278*(D278/100+1))</f>
        <v>0</v>
      </c>
      <c r="J277" s="30">
        <f t="shared" ref="J277" si="127">H277*I277</f>
        <v>0</v>
      </c>
      <c r="L277">
        <f>B277</f>
        <v>0</v>
      </c>
      <c r="M277" s="37">
        <v>75</v>
      </c>
      <c r="N277" s="30">
        <f t="shared" si="121"/>
        <v>0</v>
      </c>
      <c r="O277" t="s">
        <v>531</v>
      </c>
      <c r="P277">
        <f>B277*3</f>
        <v>0</v>
      </c>
      <c r="Q277">
        <f t="shared" si="126"/>
        <v>0</v>
      </c>
      <c r="R277">
        <f t="shared" si="122"/>
        <v>0</v>
      </c>
    </row>
    <row r="278" spans="1:18" x14ac:dyDescent="0.25">
      <c r="A278" s="41" t="s">
        <v>197</v>
      </c>
      <c r="B278" s="54"/>
      <c r="C278" s="41"/>
      <c r="D278" s="41">
        <v>10</v>
      </c>
      <c r="I278" s="37"/>
      <c r="J278" s="30"/>
      <c r="M278" s="37"/>
      <c r="N278" s="30">
        <f t="shared" si="121"/>
        <v>0</v>
      </c>
      <c r="R278">
        <f t="shared" si="122"/>
        <v>0</v>
      </c>
    </row>
    <row r="279" spans="1:18" x14ac:dyDescent="0.25">
      <c r="A279" s="52"/>
      <c r="B279" s="4"/>
      <c r="C279" s="52"/>
      <c r="D279" s="60"/>
      <c r="I279" s="37"/>
      <c r="J279" s="30"/>
      <c r="M279" s="37"/>
      <c r="N279" s="30">
        <f t="shared" si="121"/>
        <v>0</v>
      </c>
      <c r="R279">
        <f t="shared" si="122"/>
        <v>0</v>
      </c>
    </row>
    <row r="280" spans="1:18" x14ac:dyDescent="0.25">
      <c r="A280" s="41" t="s">
        <v>525</v>
      </c>
      <c r="B280" s="53"/>
      <c r="C280" s="60"/>
      <c r="D280" s="60"/>
      <c r="H280">
        <v>1</v>
      </c>
      <c r="I280" s="37">
        <f>B280*1.8*7.14</f>
        <v>0</v>
      </c>
      <c r="J280" s="30">
        <f t="shared" ref="J280" si="128">H280*I280</f>
        <v>0</v>
      </c>
      <c r="L280">
        <f>B280</f>
        <v>0</v>
      </c>
      <c r="M280" s="37">
        <v>14.04</v>
      </c>
      <c r="N280" s="30">
        <f t="shared" si="121"/>
        <v>0</v>
      </c>
      <c r="O280" t="s">
        <v>391</v>
      </c>
      <c r="P280">
        <f>B280*1.8</f>
        <v>0</v>
      </c>
      <c r="Q280">
        <f>P280/15</f>
        <v>0</v>
      </c>
      <c r="R280">
        <f t="shared" si="122"/>
        <v>0</v>
      </c>
    </row>
    <row r="281" spans="1:18" x14ac:dyDescent="0.25">
      <c r="A281" s="52"/>
      <c r="B281" s="4"/>
      <c r="C281" s="52"/>
      <c r="D281" s="60"/>
      <c r="I281" s="37"/>
      <c r="M281" s="37"/>
      <c r="N281" s="30">
        <f t="shared" si="121"/>
        <v>0</v>
      </c>
      <c r="R281">
        <f t="shared" si="122"/>
        <v>0</v>
      </c>
    </row>
    <row r="282" spans="1:18" x14ac:dyDescent="0.25">
      <c r="A282" s="41" t="s">
        <v>526</v>
      </c>
      <c r="B282" s="53"/>
      <c r="C282" s="60"/>
      <c r="D282" s="60"/>
      <c r="H282">
        <f>B282</f>
        <v>0</v>
      </c>
      <c r="I282" s="37">
        <v>0.51</v>
      </c>
      <c r="J282" s="30">
        <f>H282*I282*1.1</f>
        <v>0</v>
      </c>
      <c r="L282">
        <f t="shared" ref="L282" si="129">B282</f>
        <v>0</v>
      </c>
      <c r="M282" s="37">
        <v>2.8</v>
      </c>
      <c r="N282" s="30">
        <f t="shared" si="121"/>
        <v>0</v>
      </c>
      <c r="O282" t="s">
        <v>534</v>
      </c>
      <c r="P282">
        <f>B282</f>
        <v>0</v>
      </c>
      <c r="Q282">
        <f>P282/40</f>
        <v>0</v>
      </c>
      <c r="R282">
        <f t="shared" si="122"/>
        <v>0</v>
      </c>
    </row>
    <row r="283" spans="1:18" x14ac:dyDescent="0.25">
      <c r="A283" s="52"/>
      <c r="B283" s="4"/>
      <c r="C283" s="52"/>
      <c r="D283" s="65"/>
      <c r="I283" s="37"/>
      <c r="J283" s="30"/>
      <c r="M283" s="37"/>
      <c r="N283" s="30">
        <f t="shared" si="121"/>
        <v>0</v>
      </c>
      <c r="R283">
        <f t="shared" si="122"/>
        <v>0</v>
      </c>
    </row>
    <row r="284" spans="1:18" x14ac:dyDescent="0.25">
      <c r="A284" s="41" t="s">
        <v>396</v>
      </c>
      <c r="B284" s="17"/>
      <c r="C284" s="60"/>
      <c r="D284" s="60"/>
      <c r="H284">
        <f>B284</f>
        <v>0</v>
      </c>
      <c r="I284" s="37">
        <f>10.35</f>
        <v>10.35</v>
      </c>
      <c r="J284" s="30">
        <f>H284*I284</f>
        <v>0</v>
      </c>
      <c r="L284">
        <f t="shared" ref="L284" si="130">B284</f>
        <v>0</v>
      </c>
      <c r="M284" s="37">
        <v>4.4000000000000004</v>
      </c>
      <c r="N284" s="30">
        <f t="shared" si="121"/>
        <v>0</v>
      </c>
      <c r="O284" t="s">
        <v>396</v>
      </c>
      <c r="Q284">
        <f>B284</f>
        <v>0</v>
      </c>
      <c r="R284">
        <f t="shared" si="122"/>
        <v>0</v>
      </c>
    </row>
    <row r="285" spans="1:18" x14ac:dyDescent="0.25">
      <c r="A285" s="52"/>
      <c r="B285" s="4"/>
      <c r="C285" s="52"/>
      <c r="D285" s="52"/>
      <c r="I285" s="37"/>
      <c r="J285" s="30"/>
      <c r="M285" s="37"/>
      <c r="N285" s="30">
        <f t="shared" si="121"/>
        <v>0</v>
      </c>
      <c r="R285">
        <f t="shared" si="122"/>
        <v>0</v>
      </c>
    </row>
    <row r="286" spans="1:18" x14ac:dyDescent="0.25">
      <c r="A286" s="41" t="s">
        <v>527</v>
      </c>
      <c r="B286" s="17"/>
      <c r="C286" s="60"/>
      <c r="D286" s="60"/>
      <c r="E286" s="25"/>
      <c r="H286">
        <f>B286</f>
        <v>0</v>
      </c>
      <c r="I286" s="37">
        <v>10.42</v>
      </c>
      <c r="J286" s="30">
        <f t="shared" ref="J286" si="131">H286*I286</f>
        <v>0</v>
      </c>
      <c r="L286">
        <f>B286</f>
        <v>0</v>
      </c>
      <c r="M286" s="37">
        <v>2.8</v>
      </c>
      <c r="N286" s="30">
        <f t="shared" si="121"/>
        <v>0</v>
      </c>
      <c r="O286" t="s">
        <v>527</v>
      </c>
      <c r="Q286">
        <f>B286</f>
        <v>0</v>
      </c>
      <c r="R286">
        <f t="shared" si="122"/>
        <v>0</v>
      </c>
    </row>
    <row r="287" spans="1:18" x14ac:dyDescent="0.25">
      <c r="A287" s="52"/>
      <c r="B287" s="4"/>
      <c r="C287" s="52"/>
      <c r="D287" s="66"/>
      <c r="I287" s="37"/>
      <c r="J287" s="30"/>
      <c r="M287" s="37"/>
      <c r="N287" s="30"/>
    </row>
    <row r="288" spans="1:18" x14ac:dyDescent="0.25">
      <c r="A288" s="41" t="s">
        <v>532</v>
      </c>
      <c r="B288" s="17"/>
      <c r="C288" s="60"/>
      <c r="D288" s="60"/>
      <c r="E288" s="25"/>
      <c r="H288">
        <f>B288</f>
        <v>0</v>
      </c>
      <c r="I288" s="37">
        <v>3.17</v>
      </c>
      <c r="J288" s="30">
        <f t="shared" ref="J288" si="132">H288*I288</f>
        <v>0</v>
      </c>
      <c r="L288">
        <f>B288</f>
        <v>0</v>
      </c>
      <c r="M288" s="37">
        <v>5.3</v>
      </c>
      <c r="N288" s="30">
        <f t="shared" ref="N288" si="133">L288*M288</f>
        <v>0</v>
      </c>
      <c r="O288" t="s">
        <v>533</v>
      </c>
      <c r="P288">
        <f>B288/1.5</f>
        <v>0</v>
      </c>
      <c r="Q288">
        <f>P288/10</f>
        <v>0</v>
      </c>
      <c r="R288">
        <f t="shared" si="122"/>
        <v>0</v>
      </c>
    </row>
    <row r="289" spans="1:18" x14ac:dyDescent="0.25">
      <c r="A289" s="52"/>
      <c r="B289" s="4"/>
      <c r="C289" s="52"/>
      <c r="D289" s="66"/>
      <c r="I289" s="37"/>
      <c r="J289" s="30"/>
      <c r="M289" s="37"/>
      <c r="N289" s="30"/>
    </row>
    <row r="290" spans="1:18" x14ac:dyDescent="0.25">
      <c r="A290" s="41" t="s">
        <v>203</v>
      </c>
      <c r="B290" s="54"/>
      <c r="C290" s="60"/>
      <c r="D290" s="60"/>
      <c r="I290" s="37">
        <f t="shared" ref="I290" si="134">(B291*(D291/100+1))</f>
        <v>0</v>
      </c>
      <c r="J290" s="30">
        <f>B290</f>
        <v>0</v>
      </c>
      <c r="M290" s="37"/>
      <c r="N290" s="30"/>
    </row>
    <row r="291" spans="1:18" x14ac:dyDescent="0.25">
      <c r="I291" s="37"/>
    </row>
    <row r="292" spans="1:18" x14ac:dyDescent="0.25">
      <c r="I292" s="37" t="s">
        <v>209</v>
      </c>
      <c r="J292" s="30">
        <f>SUM(J271:J290)</f>
        <v>0</v>
      </c>
      <c r="M292" t="s">
        <v>209</v>
      </c>
      <c r="N292" s="30">
        <f>SUM(N271:N291)</f>
        <v>0</v>
      </c>
    </row>
    <row r="293" spans="1:18" x14ac:dyDescent="0.25">
      <c r="A293" t="s">
        <v>153</v>
      </c>
      <c r="B293" s="30">
        <f>J292/((100-B294)/100)</f>
        <v>0</v>
      </c>
      <c r="I293" s="37"/>
    </row>
    <row r="294" spans="1:18" x14ac:dyDescent="0.25">
      <c r="A294" t="s">
        <v>169</v>
      </c>
      <c r="B294">
        <v>0</v>
      </c>
      <c r="I294" s="37"/>
    </row>
    <row r="295" spans="1:18" x14ac:dyDescent="0.25">
      <c r="I295" s="37"/>
    </row>
    <row r="296" spans="1:18" x14ac:dyDescent="0.25">
      <c r="A296" t="s">
        <v>210</v>
      </c>
      <c r="B296" s="30">
        <f>N292*((100+B297)/100)</f>
        <v>0</v>
      </c>
      <c r="I296" s="37"/>
    </row>
    <row r="297" spans="1:18" x14ac:dyDescent="0.25">
      <c r="A297" t="s">
        <v>154</v>
      </c>
      <c r="B297">
        <v>0</v>
      </c>
      <c r="I297" s="37"/>
    </row>
    <row r="300" spans="1:18" x14ac:dyDescent="0.25">
      <c r="A300" s="1" t="s">
        <v>164</v>
      </c>
      <c r="B300" s="1" t="s">
        <v>79</v>
      </c>
      <c r="I300" s="37"/>
    </row>
    <row r="301" spans="1:18" x14ac:dyDescent="0.25">
      <c r="A301" s="1" t="s">
        <v>487</v>
      </c>
      <c r="I301" s="37"/>
    </row>
    <row r="302" spans="1:18" x14ac:dyDescent="0.25">
      <c r="H302" s="1" t="s">
        <v>114</v>
      </c>
      <c r="I302" s="37"/>
      <c r="L302" s="1" t="s">
        <v>76</v>
      </c>
      <c r="P302" s="1" t="s">
        <v>144</v>
      </c>
    </row>
    <row r="303" spans="1:18" x14ac:dyDescent="0.25">
      <c r="B303" s="1" t="s">
        <v>196</v>
      </c>
      <c r="C303" s="1" t="s">
        <v>125</v>
      </c>
      <c r="D303" s="1" t="s">
        <v>221</v>
      </c>
      <c r="H303" t="s">
        <v>198</v>
      </c>
      <c r="I303" s="37" t="s">
        <v>126</v>
      </c>
      <c r="J303" t="s">
        <v>155</v>
      </c>
      <c r="L303" t="s">
        <v>198</v>
      </c>
      <c r="M303" t="s">
        <v>126</v>
      </c>
      <c r="N303" t="s">
        <v>155</v>
      </c>
      <c r="P303" t="s">
        <v>28</v>
      </c>
      <c r="Q303" t="s">
        <v>529</v>
      </c>
      <c r="R303" t="s">
        <v>530</v>
      </c>
    </row>
    <row r="304" spans="1:18" x14ac:dyDescent="0.25">
      <c r="A304" s="41" t="s">
        <v>523</v>
      </c>
      <c r="B304" s="53"/>
      <c r="C304" s="60"/>
      <c r="D304" s="60"/>
      <c r="E304" s="25"/>
      <c r="H304">
        <f>B304</f>
        <v>0</v>
      </c>
      <c r="I304" s="37">
        <f>(B305*(D305/100+1))+3</f>
        <v>3</v>
      </c>
      <c r="J304" s="30">
        <f>H304*I304</f>
        <v>0</v>
      </c>
      <c r="L304">
        <f>B304</f>
        <v>0</v>
      </c>
      <c r="M304" s="37">
        <v>38</v>
      </c>
      <c r="N304" s="30">
        <f>L304*M304</f>
        <v>0</v>
      </c>
      <c r="O304" t="s">
        <v>531</v>
      </c>
      <c r="P304">
        <f>B304*3</f>
        <v>0</v>
      </c>
      <c r="Q304">
        <f>P304/20</f>
        <v>0</v>
      </c>
      <c r="R304">
        <f>ROUNDUP(Q304,0)</f>
        <v>0</v>
      </c>
    </row>
    <row r="305" spans="1:18" x14ac:dyDescent="0.25">
      <c r="A305" s="41" t="s">
        <v>197</v>
      </c>
      <c r="B305" s="54"/>
      <c r="C305" s="41"/>
      <c r="D305" s="41">
        <v>10</v>
      </c>
      <c r="I305" s="37"/>
      <c r="J305" s="30">
        <f t="shared" ref="J305" si="135">H305*I305</f>
        <v>0</v>
      </c>
      <c r="M305" s="37"/>
      <c r="N305" s="30">
        <f t="shared" ref="N305:N319" si="136">L305*M305</f>
        <v>0</v>
      </c>
      <c r="R305">
        <f t="shared" ref="R305:R321" si="137">ROUNDUP(Q305,0)</f>
        <v>0</v>
      </c>
    </row>
    <row r="306" spans="1:18" x14ac:dyDescent="0.25">
      <c r="A306" s="52"/>
      <c r="B306" s="4"/>
      <c r="C306" s="52"/>
      <c r="D306" s="60"/>
      <c r="I306" s="37"/>
      <c r="J306" s="30"/>
      <c r="M306" s="37"/>
      <c r="N306" s="30">
        <f t="shared" si="136"/>
        <v>0</v>
      </c>
      <c r="R306">
        <f t="shared" si="137"/>
        <v>0</v>
      </c>
    </row>
    <row r="307" spans="1:18" x14ac:dyDescent="0.25">
      <c r="A307" s="41" t="s">
        <v>524</v>
      </c>
      <c r="B307" s="53"/>
      <c r="C307" s="60"/>
      <c r="D307" s="60"/>
      <c r="E307" s="25"/>
      <c r="H307">
        <f t="shared" ref="H307" si="138">B307</f>
        <v>0</v>
      </c>
      <c r="I307" s="37">
        <f t="shared" ref="I307" si="139">(B308*(D308/100+1))+3</f>
        <v>3</v>
      </c>
      <c r="J307" s="30">
        <f t="shared" ref="J307" si="140">H307*I307</f>
        <v>0</v>
      </c>
      <c r="L307">
        <f>B307</f>
        <v>0</v>
      </c>
      <c r="M307" s="37">
        <v>38</v>
      </c>
      <c r="N307" s="30">
        <f t="shared" si="136"/>
        <v>0</v>
      </c>
      <c r="O307" t="s">
        <v>531</v>
      </c>
      <c r="P307">
        <f>B307*3</f>
        <v>0</v>
      </c>
      <c r="Q307">
        <f t="shared" ref="Q307:Q310" si="141">P307/20</f>
        <v>0</v>
      </c>
      <c r="R307">
        <f t="shared" si="137"/>
        <v>0</v>
      </c>
    </row>
    <row r="308" spans="1:18" x14ac:dyDescent="0.25">
      <c r="A308" s="41" t="s">
        <v>197</v>
      </c>
      <c r="B308" s="54"/>
      <c r="C308" s="41"/>
      <c r="D308" s="41">
        <v>10</v>
      </c>
      <c r="I308" s="37"/>
      <c r="J308" s="30"/>
      <c r="M308" s="37"/>
      <c r="N308" s="30">
        <f t="shared" si="136"/>
        <v>0</v>
      </c>
      <c r="R308">
        <f t="shared" si="137"/>
        <v>0</v>
      </c>
    </row>
    <row r="309" spans="1:18" x14ac:dyDescent="0.25">
      <c r="A309" s="52"/>
      <c r="B309" s="4"/>
      <c r="C309" s="52"/>
      <c r="D309" s="60"/>
      <c r="I309" s="37"/>
      <c r="J309" s="30"/>
      <c r="M309" s="37"/>
      <c r="N309" s="30">
        <f t="shared" si="136"/>
        <v>0</v>
      </c>
      <c r="R309">
        <f t="shared" si="137"/>
        <v>0</v>
      </c>
    </row>
    <row r="310" spans="1:18" x14ac:dyDescent="0.25">
      <c r="A310" s="41" t="s">
        <v>535</v>
      </c>
      <c r="B310" s="53"/>
      <c r="C310" s="60"/>
      <c r="D310" s="60"/>
      <c r="E310" s="25" t="s">
        <v>528</v>
      </c>
      <c r="H310">
        <f>B310</f>
        <v>0</v>
      </c>
      <c r="I310" s="37">
        <f>(B311*(D311/100+1))</f>
        <v>0</v>
      </c>
      <c r="J310" s="30">
        <f t="shared" ref="J310" si="142">H310*I310</f>
        <v>0</v>
      </c>
      <c r="L310">
        <f>B310</f>
        <v>0</v>
      </c>
      <c r="M310" s="37">
        <v>75</v>
      </c>
      <c r="N310" s="30">
        <f t="shared" si="136"/>
        <v>0</v>
      </c>
      <c r="O310" t="s">
        <v>531</v>
      </c>
      <c r="P310">
        <f>B310*3</f>
        <v>0</v>
      </c>
      <c r="Q310">
        <f t="shared" si="141"/>
        <v>0</v>
      </c>
      <c r="R310">
        <f t="shared" si="137"/>
        <v>0</v>
      </c>
    </row>
    <row r="311" spans="1:18" x14ac:dyDescent="0.25">
      <c r="A311" s="41" t="s">
        <v>197</v>
      </c>
      <c r="B311" s="54"/>
      <c r="C311" s="41"/>
      <c r="D311" s="41">
        <v>10</v>
      </c>
      <c r="I311" s="37"/>
      <c r="J311" s="30"/>
      <c r="M311" s="37"/>
      <c r="N311" s="30">
        <f t="shared" si="136"/>
        <v>0</v>
      </c>
      <c r="R311">
        <f t="shared" si="137"/>
        <v>0</v>
      </c>
    </row>
    <row r="312" spans="1:18" x14ac:dyDescent="0.25">
      <c r="A312" s="52"/>
      <c r="B312" s="4"/>
      <c r="C312" s="52"/>
      <c r="D312" s="60"/>
      <c r="I312" s="37"/>
      <c r="J312" s="30"/>
      <c r="M312" s="37"/>
      <c r="N312" s="30">
        <f t="shared" si="136"/>
        <v>0</v>
      </c>
      <c r="R312">
        <f t="shared" si="137"/>
        <v>0</v>
      </c>
    </row>
    <row r="313" spans="1:18" x14ac:dyDescent="0.25">
      <c r="A313" s="41" t="s">
        <v>525</v>
      </c>
      <c r="B313" s="53"/>
      <c r="C313" s="60"/>
      <c r="D313" s="60"/>
      <c r="H313">
        <v>1</v>
      </c>
      <c r="I313" s="37">
        <f>B313*1.8*7.14</f>
        <v>0</v>
      </c>
      <c r="J313" s="30">
        <f t="shared" ref="J313" si="143">H313*I313</f>
        <v>0</v>
      </c>
      <c r="L313">
        <f>B313</f>
        <v>0</v>
      </c>
      <c r="M313" s="37">
        <v>14.04</v>
      </c>
      <c r="N313" s="30">
        <f t="shared" si="136"/>
        <v>0</v>
      </c>
      <c r="O313" t="s">
        <v>391</v>
      </c>
      <c r="P313">
        <f>B313*1.8</f>
        <v>0</v>
      </c>
      <c r="Q313">
        <f>P313/15</f>
        <v>0</v>
      </c>
      <c r="R313">
        <f t="shared" si="137"/>
        <v>0</v>
      </c>
    </row>
    <row r="314" spans="1:18" x14ac:dyDescent="0.25">
      <c r="A314" s="52"/>
      <c r="B314" s="4"/>
      <c r="C314" s="52"/>
      <c r="D314" s="60"/>
      <c r="I314" s="37"/>
      <c r="M314" s="37"/>
      <c r="N314" s="30">
        <f t="shared" si="136"/>
        <v>0</v>
      </c>
      <c r="R314">
        <f t="shared" si="137"/>
        <v>0</v>
      </c>
    </row>
    <row r="315" spans="1:18" x14ac:dyDescent="0.25">
      <c r="A315" s="41" t="s">
        <v>526</v>
      </c>
      <c r="B315" s="53"/>
      <c r="C315" s="60"/>
      <c r="D315" s="60"/>
      <c r="H315">
        <f>B315</f>
        <v>0</v>
      </c>
      <c r="I315" s="37">
        <v>0.51</v>
      </c>
      <c r="J315" s="30">
        <f>H315*I315*1.1</f>
        <v>0</v>
      </c>
      <c r="L315">
        <f t="shared" ref="L315" si="144">B315</f>
        <v>0</v>
      </c>
      <c r="M315" s="37">
        <v>2.8</v>
      </c>
      <c r="N315" s="30">
        <f t="shared" si="136"/>
        <v>0</v>
      </c>
      <c r="O315" t="s">
        <v>534</v>
      </c>
      <c r="P315">
        <f>B315</f>
        <v>0</v>
      </c>
      <c r="Q315">
        <f>P315/40</f>
        <v>0</v>
      </c>
      <c r="R315">
        <f t="shared" si="137"/>
        <v>0</v>
      </c>
    </row>
    <row r="316" spans="1:18" x14ac:dyDescent="0.25">
      <c r="A316" s="52"/>
      <c r="B316" s="4"/>
      <c r="C316" s="52"/>
      <c r="D316" s="65"/>
      <c r="I316" s="37"/>
      <c r="J316" s="30"/>
      <c r="M316" s="37"/>
      <c r="N316" s="30">
        <f t="shared" si="136"/>
        <v>0</v>
      </c>
      <c r="R316">
        <f t="shared" si="137"/>
        <v>0</v>
      </c>
    </row>
    <row r="317" spans="1:18" x14ac:dyDescent="0.25">
      <c r="A317" s="41" t="s">
        <v>396</v>
      </c>
      <c r="B317" s="17"/>
      <c r="C317" s="60"/>
      <c r="D317" s="60"/>
      <c r="H317">
        <f>B317</f>
        <v>0</v>
      </c>
      <c r="I317" s="37">
        <f>10.35</f>
        <v>10.35</v>
      </c>
      <c r="J317" s="30">
        <f>H317*I317</f>
        <v>0</v>
      </c>
      <c r="L317">
        <f t="shared" ref="L317" si="145">B317</f>
        <v>0</v>
      </c>
      <c r="M317" s="37">
        <v>4.4000000000000004</v>
      </c>
      <c r="N317" s="30">
        <f t="shared" si="136"/>
        <v>0</v>
      </c>
      <c r="O317" t="s">
        <v>396</v>
      </c>
      <c r="Q317">
        <f>B317</f>
        <v>0</v>
      </c>
      <c r="R317">
        <f t="shared" si="137"/>
        <v>0</v>
      </c>
    </row>
    <row r="318" spans="1:18" x14ac:dyDescent="0.25">
      <c r="A318" s="52"/>
      <c r="B318" s="4"/>
      <c r="C318" s="52"/>
      <c r="D318" s="52"/>
      <c r="I318" s="37"/>
      <c r="J318" s="30"/>
      <c r="M318" s="37"/>
      <c r="N318" s="30">
        <f t="shared" si="136"/>
        <v>0</v>
      </c>
      <c r="R318">
        <f t="shared" si="137"/>
        <v>0</v>
      </c>
    </row>
    <row r="319" spans="1:18" x14ac:dyDescent="0.25">
      <c r="A319" s="41" t="s">
        <v>527</v>
      </c>
      <c r="B319" s="17"/>
      <c r="C319" s="60"/>
      <c r="D319" s="60"/>
      <c r="E319" s="25"/>
      <c r="H319">
        <f>B319</f>
        <v>0</v>
      </c>
      <c r="I319" s="37">
        <v>10.42</v>
      </c>
      <c r="J319" s="30">
        <f t="shared" ref="J319" si="146">H319*I319</f>
        <v>0</v>
      </c>
      <c r="L319">
        <f>B319</f>
        <v>0</v>
      </c>
      <c r="M319" s="37">
        <v>2.8</v>
      </c>
      <c r="N319" s="30">
        <f t="shared" si="136"/>
        <v>0</v>
      </c>
      <c r="O319" t="s">
        <v>527</v>
      </c>
      <c r="Q319">
        <f>B319</f>
        <v>0</v>
      </c>
      <c r="R319">
        <f t="shared" si="137"/>
        <v>0</v>
      </c>
    </row>
    <row r="320" spans="1:18" x14ac:dyDescent="0.25">
      <c r="A320" s="52"/>
      <c r="B320" s="4"/>
      <c r="C320" s="52"/>
      <c r="D320" s="66"/>
      <c r="I320" s="37"/>
      <c r="J320" s="30"/>
      <c r="M320" s="37"/>
      <c r="N320" s="30"/>
    </row>
    <row r="321" spans="1:18" x14ac:dyDescent="0.25">
      <c r="A321" s="41" t="s">
        <v>532</v>
      </c>
      <c r="B321" s="17"/>
      <c r="C321" s="60"/>
      <c r="D321" s="60"/>
      <c r="E321" s="25"/>
      <c r="H321">
        <f>B321</f>
        <v>0</v>
      </c>
      <c r="I321" s="37">
        <v>3.17</v>
      </c>
      <c r="J321" s="30">
        <f t="shared" ref="J321" si="147">H321*I321</f>
        <v>0</v>
      </c>
      <c r="L321">
        <f>B321</f>
        <v>0</v>
      </c>
      <c r="M321" s="37">
        <v>5.3</v>
      </c>
      <c r="N321" s="30">
        <f t="shared" ref="N321" si="148">L321*M321</f>
        <v>0</v>
      </c>
      <c r="O321" t="s">
        <v>533</v>
      </c>
      <c r="P321">
        <f>B321/1.5</f>
        <v>0</v>
      </c>
      <c r="Q321">
        <f>P321/10</f>
        <v>0</v>
      </c>
      <c r="R321">
        <f t="shared" si="137"/>
        <v>0</v>
      </c>
    </row>
    <row r="322" spans="1:18" x14ac:dyDescent="0.25">
      <c r="A322" s="52"/>
      <c r="B322" s="4"/>
      <c r="C322" s="52"/>
      <c r="D322" s="66"/>
      <c r="I322" s="37"/>
      <c r="J322" s="30"/>
      <c r="M322" s="37"/>
      <c r="N322" s="30"/>
    </row>
    <row r="323" spans="1:18" x14ac:dyDescent="0.25">
      <c r="A323" s="41" t="s">
        <v>203</v>
      </c>
      <c r="B323" s="54"/>
      <c r="C323" s="60"/>
      <c r="D323" s="60"/>
      <c r="I323" s="37">
        <f t="shared" ref="I323" si="149">(B324*(D324/100+1))</f>
        <v>0</v>
      </c>
      <c r="J323" s="30">
        <f>B323</f>
        <v>0</v>
      </c>
      <c r="M323" s="37"/>
      <c r="N323" s="30"/>
    </row>
    <row r="324" spans="1:18" x14ac:dyDescent="0.25">
      <c r="I324" s="37"/>
    </row>
    <row r="325" spans="1:18" x14ac:dyDescent="0.25">
      <c r="I325" s="37" t="s">
        <v>209</v>
      </c>
      <c r="J325" s="30">
        <f>SUM(J304:J323)</f>
        <v>0</v>
      </c>
      <c r="M325" t="s">
        <v>209</v>
      </c>
      <c r="N325" s="30">
        <f>SUM(N304:N324)</f>
        <v>0</v>
      </c>
    </row>
    <row r="326" spans="1:18" x14ac:dyDescent="0.25">
      <c r="A326" t="s">
        <v>153</v>
      </c>
      <c r="B326" s="30">
        <f>J325/((100-B327)/100)</f>
        <v>0</v>
      </c>
      <c r="I326" s="37"/>
    </row>
    <row r="327" spans="1:18" x14ac:dyDescent="0.25">
      <c r="A327" t="s">
        <v>169</v>
      </c>
      <c r="B327">
        <v>0</v>
      </c>
      <c r="I327" s="37"/>
    </row>
    <row r="328" spans="1:18" x14ac:dyDescent="0.25">
      <c r="I328" s="37"/>
    </row>
    <row r="329" spans="1:18" x14ac:dyDescent="0.25">
      <c r="A329" t="s">
        <v>210</v>
      </c>
      <c r="B329" s="30">
        <f>N325*((100+B330)/100)</f>
        <v>0</v>
      </c>
      <c r="I329" s="37"/>
    </row>
    <row r="330" spans="1:18" x14ac:dyDescent="0.25">
      <c r="A330" t="s">
        <v>154</v>
      </c>
      <c r="B330">
        <v>0</v>
      </c>
      <c r="I330" s="37"/>
    </row>
  </sheetData>
  <autoFilter ref="B1:B330" xr:uid="{8E3B002E-152A-449E-A247-0CB9282F6A4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65E9-6190-431E-8C71-9FF6490F6231}">
  <dimension ref="A1:N279"/>
  <sheetViews>
    <sheetView topLeftCell="A25" zoomScaleNormal="100" workbookViewId="0">
      <selection activeCell="B70" sqref="B70"/>
    </sheetView>
  </sheetViews>
  <sheetFormatPr defaultColWidth="8.85546875" defaultRowHeight="15" x14ac:dyDescent="0.25"/>
  <cols>
    <col min="1" max="1" width="26.140625" customWidth="1"/>
    <col min="2" max="2" width="15.140625" customWidth="1"/>
    <col min="3" max="4" width="14" customWidth="1"/>
    <col min="9" max="9" width="14.42578125" customWidth="1"/>
    <col min="10" max="10" width="13.85546875" customWidth="1"/>
    <col min="14" max="14" width="11.42578125" customWidth="1"/>
  </cols>
  <sheetData>
    <row r="1" spans="1:14" x14ac:dyDescent="0.25">
      <c r="A1" s="1" t="s">
        <v>214</v>
      </c>
    </row>
    <row r="2" spans="1:14" x14ac:dyDescent="0.25">
      <c r="A2" s="1" t="s">
        <v>106</v>
      </c>
      <c r="B2" s="1" t="s">
        <v>79</v>
      </c>
      <c r="I2" s="37"/>
    </row>
    <row r="3" spans="1:14" x14ac:dyDescent="0.25">
      <c r="A3" s="1" t="s">
        <v>222</v>
      </c>
      <c r="B3" t="s">
        <v>646</v>
      </c>
      <c r="I3" s="37"/>
      <c r="M3" t="s">
        <v>574</v>
      </c>
    </row>
    <row r="4" spans="1:14" x14ac:dyDescent="0.25">
      <c r="H4" s="1" t="s">
        <v>114</v>
      </c>
      <c r="I4" s="37"/>
      <c r="L4" s="1" t="s">
        <v>76</v>
      </c>
    </row>
    <row r="5" spans="1:14" x14ac:dyDescent="0.25">
      <c r="B5" s="1" t="s">
        <v>196</v>
      </c>
      <c r="C5" s="1" t="s">
        <v>125</v>
      </c>
      <c r="D5" s="1" t="s">
        <v>221</v>
      </c>
      <c r="H5" t="s">
        <v>198</v>
      </c>
      <c r="I5" s="37" t="s">
        <v>126</v>
      </c>
      <c r="J5" t="s">
        <v>155</v>
      </c>
      <c r="L5" t="s">
        <v>198</v>
      </c>
      <c r="M5" t="s">
        <v>126</v>
      </c>
      <c r="N5" t="s">
        <v>155</v>
      </c>
    </row>
    <row r="6" spans="1:14" x14ac:dyDescent="0.25">
      <c r="A6" s="41" t="s">
        <v>193</v>
      </c>
      <c r="B6" s="53">
        <v>330</v>
      </c>
      <c r="C6" s="60"/>
      <c r="D6" s="60"/>
      <c r="E6" s="25" t="s">
        <v>216</v>
      </c>
      <c r="H6">
        <f>B6</f>
        <v>330</v>
      </c>
      <c r="I6" s="37">
        <f>(B7*(D7/100+1))+1</f>
        <v>39.5</v>
      </c>
      <c r="J6" s="30">
        <f>H6*I6</f>
        <v>13035</v>
      </c>
      <c r="L6">
        <f>B6</f>
        <v>330</v>
      </c>
      <c r="M6" s="37">
        <v>4.8</v>
      </c>
      <c r="N6" s="30">
        <f>L6*M6</f>
        <v>1584</v>
      </c>
    </row>
    <row r="7" spans="1:14" x14ac:dyDescent="0.25">
      <c r="A7" s="41" t="s">
        <v>197</v>
      </c>
      <c r="B7" s="54">
        <v>35</v>
      </c>
      <c r="C7" s="41"/>
      <c r="D7" s="41">
        <v>10</v>
      </c>
      <c r="I7" s="37"/>
      <c r="J7" s="30">
        <f t="shared" ref="J7" si="0">H7*I7</f>
        <v>0</v>
      </c>
      <c r="M7" s="37"/>
      <c r="N7" s="30">
        <f t="shared" ref="N7:N24" si="1">L7*M7</f>
        <v>0</v>
      </c>
    </row>
    <row r="8" spans="1:14" x14ac:dyDescent="0.25">
      <c r="A8" s="52"/>
      <c r="B8" s="4"/>
      <c r="C8" s="52"/>
      <c r="D8" s="60"/>
      <c r="I8" s="37"/>
      <c r="J8" s="30"/>
      <c r="M8" s="37"/>
      <c r="N8" s="30">
        <f t="shared" si="1"/>
        <v>0</v>
      </c>
    </row>
    <row r="9" spans="1:14" x14ac:dyDescent="0.25">
      <c r="A9" s="41" t="s">
        <v>215</v>
      </c>
      <c r="B9" s="53"/>
      <c r="C9" s="60"/>
      <c r="D9" s="60"/>
      <c r="E9" s="25" t="s">
        <v>216</v>
      </c>
      <c r="H9">
        <f t="shared" ref="H9" si="2">B9</f>
        <v>0</v>
      </c>
      <c r="I9" s="37">
        <f>(B10*(D10/100+1))+1.5</f>
        <v>1.5</v>
      </c>
      <c r="J9" s="30">
        <f t="shared" ref="J9" si="3">H9*I9</f>
        <v>0</v>
      </c>
      <c r="L9">
        <f>B9</f>
        <v>0</v>
      </c>
      <c r="M9" s="37">
        <v>6.4</v>
      </c>
      <c r="N9" s="30">
        <f t="shared" si="1"/>
        <v>0</v>
      </c>
    </row>
    <row r="10" spans="1:14" x14ac:dyDescent="0.25">
      <c r="A10" s="41" t="s">
        <v>197</v>
      </c>
      <c r="B10" s="54"/>
      <c r="C10" s="41"/>
      <c r="D10" s="41">
        <v>10</v>
      </c>
      <c r="I10" s="37"/>
      <c r="J10" s="30"/>
      <c r="M10" s="37"/>
      <c r="N10" s="30">
        <f t="shared" si="1"/>
        <v>0</v>
      </c>
    </row>
    <row r="11" spans="1:14" x14ac:dyDescent="0.25">
      <c r="A11" s="52"/>
      <c r="B11" s="4"/>
      <c r="C11" s="52"/>
      <c r="D11" s="60"/>
      <c r="I11" s="37"/>
      <c r="J11" s="30"/>
      <c r="M11" s="37"/>
      <c r="N11" s="30">
        <f t="shared" si="1"/>
        <v>0</v>
      </c>
    </row>
    <row r="12" spans="1:14" x14ac:dyDescent="0.25">
      <c r="A12" s="41" t="s">
        <v>217</v>
      </c>
      <c r="B12" s="53"/>
      <c r="C12" s="60"/>
      <c r="D12" s="60"/>
      <c r="H12">
        <f>B12</f>
        <v>0</v>
      </c>
      <c r="I12" s="37">
        <f>(B13*(D13/100+1))</f>
        <v>0</v>
      </c>
      <c r="J12" s="30">
        <f t="shared" ref="J12" si="4">H12*I12</f>
        <v>0</v>
      </c>
      <c r="L12">
        <f>B12</f>
        <v>0</v>
      </c>
      <c r="M12" s="37">
        <v>10.8</v>
      </c>
      <c r="N12" s="30">
        <f t="shared" si="1"/>
        <v>0</v>
      </c>
    </row>
    <row r="13" spans="1:14" x14ac:dyDescent="0.25">
      <c r="A13" s="41" t="s">
        <v>197</v>
      </c>
      <c r="B13" s="54"/>
      <c r="C13" s="41"/>
      <c r="D13" s="41">
        <v>10</v>
      </c>
      <c r="I13" s="37"/>
      <c r="J13" s="30"/>
      <c r="M13" s="37"/>
      <c r="N13" s="30">
        <f t="shared" si="1"/>
        <v>0</v>
      </c>
    </row>
    <row r="14" spans="1:14" x14ac:dyDescent="0.25">
      <c r="A14" s="52"/>
      <c r="B14" s="4"/>
      <c r="C14" s="52"/>
      <c r="D14" s="60"/>
      <c r="I14" s="37"/>
      <c r="J14" s="30"/>
      <c r="M14" s="37"/>
      <c r="N14" s="30">
        <f t="shared" si="1"/>
        <v>0</v>
      </c>
    </row>
    <row r="15" spans="1:14" x14ac:dyDescent="0.25">
      <c r="A15" s="41" t="s">
        <v>218</v>
      </c>
      <c r="B15" s="53"/>
      <c r="C15" s="60"/>
      <c r="D15" s="60"/>
      <c r="H15">
        <f t="shared" ref="H15" si="5">B15</f>
        <v>0</v>
      </c>
      <c r="I15" s="37">
        <f>(B16*(D16/100+1))</f>
        <v>0</v>
      </c>
      <c r="J15" s="30">
        <f t="shared" ref="J15" si="6">H15*I15</f>
        <v>0</v>
      </c>
      <c r="L15">
        <f>B15</f>
        <v>0</v>
      </c>
      <c r="M15" s="37">
        <v>16</v>
      </c>
      <c r="N15" s="30">
        <f t="shared" si="1"/>
        <v>0</v>
      </c>
    </row>
    <row r="16" spans="1:14" x14ac:dyDescent="0.25">
      <c r="A16" s="41" t="s">
        <v>194</v>
      </c>
      <c r="B16" s="54"/>
      <c r="C16" s="51"/>
      <c r="D16" s="41">
        <v>10</v>
      </c>
      <c r="I16" s="37"/>
      <c r="J16" s="30"/>
      <c r="M16" s="37"/>
      <c r="N16" s="30">
        <f t="shared" si="1"/>
        <v>0</v>
      </c>
    </row>
    <row r="17" spans="1:14" x14ac:dyDescent="0.25">
      <c r="A17" s="52"/>
      <c r="B17" s="4"/>
      <c r="C17" s="52"/>
      <c r="D17" s="60"/>
      <c r="I17" s="37"/>
      <c r="M17" s="37"/>
      <c r="N17" s="30">
        <f t="shared" si="1"/>
        <v>0</v>
      </c>
    </row>
    <row r="18" spans="1:14" x14ac:dyDescent="0.25">
      <c r="A18" s="41" t="s">
        <v>219</v>
      </c>
      <c r="B18" s="53"/>
      <c r="C18" s="60"/>
      <c r="D18" s="60"/>
      <c r="H18">
        <f>B18</f>
        <v>0</v>
      </c>
      <c r="I18" s="37">
        <f>(B19*(D19/100+1))</f>
        <v>0</v>
      </c>
      <c r="J18" s="30">
        <f>H18*I18*1.1</f>
        <v>0</v>
      </c>
      <c r="L18">
        <f t="shared" ref="L18" si="7">B18</f>
        <v>0</v>
      </c>
      <c r="M18" s="37">
        <v>1.5</v>
      </c>
      <c r="N18" s="30">
        <f t="shared" si="1"/>
        <v>0</v>
      </c>
    </row>
    <row r="19" spans="1:14" x14ac:dyDescent="0.25">
      <c r="A19" s="41" t="s">
        <v>220</v>
      </c>
      <c r="B19" s="54"/>
      <c r="C19" s="41"/>
      <c r="D19" s="41">
        <v>10</v>
      </c>
      <c r="I19" s="37"/>
      <c r="J19" s="30"/>
      <c r="M19" s="37"/>
      <c r="N19" s="30">
        <f t="shared" si="1"/>
        <v>0</v>
      </c>
    </row>
    <row r="20" spans="1:14" x14ac:dyDescent="0.25">
      <c r="A20" s="52"/>
      <c r="C20" s="52"/>
      <c r="D20" s="65"/>
      <c r="I20" s="37"/>
      <c r="J20" s="30"/>
      <c r="M20" s="37"/>
      <c r="N20" s="30">
        <f t="shared" si="1"/>
        <v>0</v>
      </c>
    </row>
    <row r="21" spans="1:14" x14ac:dyDescent="0.25">
      <c r="A21" s="41" t="s">
        <v>223</v>
      </c>
      <c r="B21" s="41"/>
      <c r="C21" s="60"/>
      <c r="D21" s="60"/>
      <c r="H21">
        <f>B21</f>
        <v>0</v>
      </c>
      <c r="I21" s="37">
        <f>(B22*(D22/100+1))+3</f>
        <v>3</v>
      </c>
      <c r="J21" s="30">
        <f>H21*I21</f>
        <v>0</v>
      </c>
      <c r="L21">
        <f t="shared" ref="L21" si="8">B21</f>
        <v>0</v>
      </c>
      <c r="M21" s="37">
        <v>38</v>
      </c>
      <c r="N21" s="30">
        <f t="shared" si="1"/>
        <v>0</v>
      </c>
    </row>
    <row r="22" spans="1:14" x14ac:dyDescent="0.25">
      <c r="A22" s="41" t="s">
        <v>194</v>
      </c>
      <c r="B22" s="41"/>
      <c r="C22" s="41"/>
      <c r="D22" s="41">
        <v>10</v>
      </c>
      <c r="I22" s="37"/>
      <c r="J22" s="30"/>
      <c r="M22" s="37"/>
      <c r="N22" s="30">
        <f t="shared" si="1"/>
        <v>0</v>
      </c>
    </row>
    <row r="23" spans="1:14" x14ac:dyDescent="0.25">
      <c r="A23" s="52"/>
      <c r="C23" s="52"/>
      <c r="D23" s="52"/>
      <c r="I23" s="37"/>
      <c r="J23" s="30"/>
      <c r="M23" s="37"/>
      <c r="N23" s="30">
        <f t="shared" si="1"/>
        <v>0</v>
      </c>
    </row>
    <row r="24" spans="1:14" x14ac:dyDescent="0.25">
      <c r="A24" s="41" t="s">
        <v>228</v>
      </c>
      <c r="B24" s="41"/>
      <c r="C24" s="60"/>
      <c r="D24" s="60"/>
      <c r="E24" s="25" t="s">
        <v>229</v>
      </c>
      <c r="H24">
        <v>1</v>
      </c>
      <c r="I24" s="37">
        <f>B25</f>
        <v>0</v>
      </c>
      <c r="J24" s="30">
        <f t="shared" ref="J24" si="9">H24*I24</f>
        <v>0</v>
      </c>
      <c r="L24">
        <f>B24</f>
        <v>0</v>
      </c>
      <c r="M24" s="37">
        <v>5.04</v>
      </c>
      <c r="N24" s="30">
        <f t="shared" si="1"/>
        <v>0</v>
      </c>
    </row>
    <row r="25" spans="1:14" x14ac:dyDescent="0.25">
      <c r="A25" s="41" t="s">
        <v>194</v>
      </c>
      <c r="B25" s="41"/>
      <c r="C25" s="41"/>
      <c r="D25" s="60"/>
      <c r="E25" s="25" t="s">
        <v>230</v>
      </c>
      <c r="I25" s="37"/>
      <c r="J25" s="30"/>
      <c r="M25" s="37"/>
      <c r="N25" s="30"/>
    </row>
    <row r="26" spans="1:14" x14ac:dyDescent="0.25">
      <c r="A26" s="52"/>
      <c r="C26" s="52"/>
      <c r="D26" s="66"/>
      <c r="I26" s="37"/>
      <c r="J26" s="30"/>
      <c r="M26" s="37"/>
      <c r="N26" s="30"/>
    </row>
    <row r="27" spans="1:14" x14ac:dyDescent="0.25">
      <c r="A27" s="41" t="s">
        <v>203</v>
      </c>
      <c r="B27" s="55">
        <v>350</v>
      </c>
      <c r="C27" s="41"/>
      <c r="D27" s="41"/>
      <c r="I27" s="37">
        <f t="shared" ref="I27" si="10">(B28*(D28/100+1))</f>
        <v>0</v>
      </c>
      <c r="J27" s="30">
        <f>B27</f>
        <v>350</v>
      </c>
      <c r="M27" s="37"/>
      <c r="N27" s="30">
        <f t="shared" ref="N27" si="11">L27*M27</f>
        <v>0</v>
      </c>
    </row>
    <row r="28" spans="1:14" x14ac:dyDescent="0.25">
      <c r="I28" s="37"/>
      <c r="L28">
        <f t="shared" ref="L28" si="12">B28</f>
        <v>0</v>
      </c>
    </row>
    <row r="29" spans="1:14" x14ac:dyDescent="0.25">
      <c r="I29" s="37" t="s">
        <v>209</v>
      </c>
      <c r="J29" s="30">
        <f>SUM(J6:J27)</f>
        <v>13385</v>
      </c>
      <c r="M29" t="s">
        <v>209</v>
      </c>
      <c r="N29" s="30">
        <f>SUM(N6:N28)</f>
        <v>1584</v>
      </c>
    </row>
    <row r="30" spans="1:14" x14ac:dyDescent="0.25">
      <c r="A30" t="s">
        <v>153</v>
      </c>
      <c r="B30" s="30">
        <f>J29/((100-B31)/100)</f>
        <v>13385</v>
      </c>
      <c r="I30" s="37"/>
    </row>
    <row r="31" spans="1:14" x14ac:dyDescent="0.25">
      <c r="A31" t="s">
        <v>169</v>
      </c>
      <c r="B31">
        <v>0</v>
      </c>
      <c r="I31" s="37"/>
    </row>
    <row r="32" spans="1:14" x14ac:dyDescent="0.25">
      <c r="I32" s="37"/>
    </row>
    <row r="33" spans="1:14" x14ac:dyDescent="0.25">
      <c r="A33" t="s">
        <v>210</v>
      </c>
      <c r="B33" s="30">
        <f>N29/((100-B34)/100)</f>
        <v>1980</v>
      </c>
      <c r="I33" s="37"/>
    </row>
    <row r="34" spans="1:14" x14ac:dyDescent="0.25">
      <c r="A34" t="s">
        <v>154</v>
      </c>
      <c r="B34">
        <v>20</v>
      </c>
      <c r="I34" s="37"/>
    </row>
    <row r="35" spans="1:14" x14ac:dyDescent="0.25">
      <c r="A35" s="1"/>
      <c r="I35" s="37"/>
    </row>
    <row r="36" spans="1:14" x14ac:dyDescent="0.25">
      <c r="H36" s="1" t="s">
        <v>114</v>
      </c>
      <c r="I36" s="37"/>
      <c r="L36" s="1" t="s">
        <v>76</v>
      </c>
    </row>
    <row r="37" spans="1:14" x14ac:dyDescent="0.25">
      <c r="A37" s="1" t="s">
        <v>107</v>
      </c>
      <c r="B37" s="1" t="s">
        <v>79</v>
      </c>
      <c r="I37" s="37"/>
    </row>
    <row r="38" spans="1:14" x14ac:dyDescent="0.25">
      <c r="A38" s="1" t="s">
        <v>222</v>
      </c>
      <c r="B38" t="s">
        <v>647</v>
      </c>
      <c r="I38" s="37"/>
    </row>
    <row r="39" spans="1:14" x14ac:dyDescent="0.25">
      <c r="H39" s="1" t="s">
        <v>114</v>
      </c>
      <c r="I39" s="37"/>
      <c r="L39" s="1" t="s">
        <v>76</v>
      </c>
    </row>
    <row r="40" spans="1:14" x14ac:dyDescent="0.25">
      <c r="B40" s="1" t="s">
        <v>196</v>
      </c>
      <c r="C40" s="1" t="s">
        <v>125</v>
      </c>
      <c r="D40" s="1" t="s">
        <v>221</v>
      </c>
      <c r="H40" t="s">
        <v>198</v>
      </c>
      <c r="I40" s="37" t="s">
        <v>126</v>
      </c>
      <c r="J40" t="s">
        <v>155</v>
      </c>
      <c r="L40" t="s">
        <v>198</v>
      </c>
      <c r="M40" t="s">
        <v>126</v>
      </c>
      <c r="N40" t="s">
        <v>155</v>
      </c>
    </row>
    <row r="41" spans="1:14" x14ac:dyDescent="0.25">
      <c r="A41" s="41" t="s">
        <v>193</v>
      </c>
      <c r="B41" s="53"/>
      <c r="C41" s="60"/>
      <c r="D41" s="60"/>
      <c r="E41" s="25" t="s">
        <v>216</v>
      </c>
      <c r="H41">
        <f>B41</f>
        <v>0</v>
      </c>
      <c r="I41" s="37">
        <f>(B42*(D42/100+1))+1</f>
        <v>1</v>
      </c>
      <c r="J41" s="30">
        <f>H41*I41</f>
        <v>0</v>
      </c>
      <c r="L41">
        <f>B41</f>
        <v>0</v>
      </c>
      <c r="M41" s="37">
        <v>4.8</v>
      </c>
      <c r="N41" s="30">
        <f>L41*M41</f>
        <v>0</v>
      </c>
    </row>
    <row r="42" spans="1:14" x14ac:dyDescent="0.25">
      <c r="A42" s="41" t="s">
        <v>197</v>
      </c>
      <c r="B42" s="54"/>
      <c r="C42" s="41"/>
      <c r="D42" s="41">
        <v>10</v>
      </c>
      <c r="I42" s="37"/>
      <c r="J42" s="30">
        <f t="shared" ref="J42" si="13">H42*I42</f>
        <v>0</v>
      </c>
      <c r="M42" s="37"/>
      <c r="N42" s="30">
        <f t="shared" ref="N42:N59" si="14">L42*M42</f>
        <v>0</v>
      </c>
    </row>
    <row r="43" spans="1:14" x14ac:dyDescent="0.25">
      <c r="A43" s="52"/>
      <c r="B43" s="4"/>
      <c r="C43" s="52"/>
      <c r="D43" s="60"/>
      <c r="I43" s="37"/>
      <c r="J43" s="30"/>
      <c r="M43" s="37"/>
      <c r="N43" s="30">
        <f t="shared" si="14"/>
        <v>0</v>
      </c>
    </row>
    <row r="44" spans="1:14" x14ac:dyDescent="0.25">
      <c r="A44" s="41" t="s">
        <v>215</v>
      </c>
      <c r="B44" s="53"/>
      <c r="C44" s="60"/>
      <c r="D44" s="60"/>
      <c r="E44" s="25" t="s">
        <v>216</v>
      </c>
      <c r="H44">
        <f t="shared" ref="H44" si="15">B44</f>
        <v>0</v>
      </c>
      <c r="I44" s="37">
        <f>(B45*(D45/100+1))+1.5</f>
        <v>1.5</v>
      </c>
      <c r="J44" s="30">
        <f t="shared" ref="J44" si="16">H44*I44</f>
        <v>0</v>
      </c>
      <c r="L44">
        <f>B44</f>
        <v>0</v>
      </c>
      <c r="M44" s="37">
        <v>6.4</v>
      </c>
      <c r="N44" s="30">
        <f t="shared" si="14"/>
        <v>0</v>
      </c>
    </row>
    <row r="45" spans="1:14" x14ac:dyDescent="0.25">
      <c r="A45" s="41" t="s">
        <v>197</v>
      </c>
      <c r="B45" s="54"/>
      <c r="C45" s="41"/>
      <c r="D45" s="41">
        <v>10</v>
      </c>
      <c r="I45" s="37"/>
      <c r="J45" s="30"/>
      <c r="M45" s="37"/>
      <c r="N45" s="30">
        <f t="shared" si="14"/>
        <v>0</v>
      </c>
    </row>
    <row r="46" spans="1:14" x14ac:dyDescent="0.25">
      <c r="A46" s="52"/>
      <c r="B46" s="4"/>
      <c r="C46" s="52"/>
      <c r="D46" s="60"/>
      <c r="I46" s="37"/>
      <c r="J46" s="30"/>
      <c r="M46" s="37"/>
      <c r="N46" s="30">
        <f t="shared" si="14"/>
        <v>0</v>
      </c>
    </row>
    <row r="47" spans="1:14" x14ac:dyDescent="0.25">
      <c r="A47" s="41" t="s">
        <v>217</v>
      </c>
      <c r="B47" s="53">
        <v>100</v>
      </c>
      <c r="C47" s="60"/>
      <c r="D47" s="60"/>
      <c r="H47">
        <f>B47</f>
        <v>100</v>
      </c>
      <c r="I47" s="37">
        <f>(B48*(D48/100+1))</f>
        <v>38.5</v>
      </c>
      <c r="J47" s="30">
        <f t="shared" ref="J47" si="17">H47*I47</f>
        <v>3850</v>
      </c>
      <c r="L47">
        <f>B47</f>
        <v>100</v>
      </c>
      <c r="M47" s="37">
        <v>10.8</v>
      </c>
      <c r="N47" s="30">
        <f t="shared" si="14"/>
        <v>1080</v>
      </c>
    </row>
    <row r="48" spans="1:14" x14ac:dyDescent="0.25">
      <c r="A48" s="41" t="s">
        <v>197</v>
      </c>
      <c r="B48" s="54">
        <v>35</v>
      </c>
      <c r="C48" s="41"/>
      <c r="D48" s="41">
        <v>10</v>
      </c>
      <c r="I48" s="37"/>
      <c r="J48" s="30"/>
      <c r="M48" s="37"/>
      <c r="N48" s="30">
        <f t="shared" si="14"/>
        <v>0</v>
      </c>
    </row>
    <row r="49" spans="1:14" x14ac:dyDescent="0.25">
      <c r="A49" s="52"/>
      <c r="B49" s="4"/>
      <c r="C49" s="52"/>
      <c r="D49" s="60"/>
      <c r="I49" s="37"/>
      <c r="J49" s="30"/>
      <c r="M49" s="37"/>
      <c r="N49" s="30">
        <f t="shared" si="14"/>
        <v>0</v>
      </c>
    </row>
    <row r="50" spans="1:14" x14ac:dyDescent="0.25">
      <c r="A50" s="41" t="s">
        <v>218</v>
      </c>
      <c r="B50" s="53"/>
      <c r="C50" s="60"/>
      <c r="D50" s="60"/>
      <c r="H50">
        <f t="shared" ref="H50" si="18">B50</f>
        <v>0</v>
      </c>
      <c r="I50" s="37">
        <f>(B51*(D51/100+1))</f>
        <v>0</v>
      </c>
      <c r="J50" s="30">
        <f t="shared" ref="J50" si="19">H50*I50</f>
        <v>0</v>
      </c>
      <c r="L50">
        <f>B50</f>
        <v>0</v>
      </c>
      <c r="M50" s="37">
        <v>16</v>
      </c>
      <c r="N50" s="30">
        <f t="shared" si="14"/>
        <v>0</v>
      </c>
    </row>
    <row r="51" spans="1:14" x14ac:dyDescent="0.25">
      <c r="A51" s="41" t="s">
        <v>194</v>
      </c>
      <c r="B51" s="54"/>
      <c r="C51" s="51"/>
      <c r="D51" s="41">
        <v>10</v>
      </c>
      <c r="I51" s="37"/>
      <c r="J51" s="30"/>
      <c r="M51" s="37"/>
      <c r="N51" s="30">
        <f t="shared" si="14"/>
        <v>0</v>
      </c>
    </row>
    <row r="52" spans="1:14" x14ac:dyDescent="0.25">
      <c r="A52" s="52"/>
      <c r="B52" s="4"/>
      <c r="C52" s="52"/>
      <c r="D52" s="60"/>
      <c r="I52" s="37"/>
      <c r="M52" s="37"/>
      <c r="N52" s="30">
        <f t="shared" si="14"/>
        <v>0</v>
      </c>
    </row>
    <row r="53" spans="1:14" x14ac:dyDescent="0.25">
      <c r="A53" s="41" t="s">
        <v>219</v>
      </c>
      <c r="B53" s="53"/>
      <c r="C53" s="60"/>
      <c r="D53" s="60"/>
      <c r="H53">
        <f>B53</f>
        <v>0</v>
      </c>
      <c r="I53" s="37">
        <f>(B54*(D54/100+1))</f>
        <v>0</v>
      </c>
      <c r="J53" s="30">
        <f>H53*I53*1.1</f>
        <v>0</v>
      </c>
      <c r="L53">
        <f t="shared" ref="L53" si="20">B53</f>
        <v>0</v>
      </c>
      <c r="M53" s="37">
        <v>1.5</v>
      </c>
      <c r="N53" s="30">
        <f t="shared" si="14"/>
        <v>0</v>
      </c>
    </row>
    <row r="54" spans="1:14" x14ac:dyDescent="0.25">
      <c r="A54" s="41" t="s">
        <v>220</v>
      </c>
      <c r="B54" s="54"/>
      <c r="C54" s="41"/>
      <c r="D54" s="41">
        <v>10</v>
      </c>
      <c r="I54" s="37"/>
      <c r="J54" s="30"/>
      <c r="M54" s="37"/>
      <c r="N54" s="30">
        <f t="shared" si="14"/>
        <v>0</v>
      </c>
    </row>
    <row r="55" spans="1:14" x14ac:dyDescent="0.25">
      <c r="A55" s="52"/>
      <c r="C55" s="52"/>
      <c r="D55" s="65"/>
      <c r="I55" s="37"/>
      <c r="J55" s="30"/>
      <c r="M55" s="37"/>
      <c r="N55" s="30">
        <f t="shared" si="14"/>
        <v>0</v>
      </c>
    </row>
    <row r="56" spans="1:14" x14ac:dyDescent="0.25">
      <c r="A56" s="41" t="s">
        <v>223</v>
      </c>
      <c r="B56" s="41"/>
      <c r="C56" s="60"/>
      <c r="D56" s="60"/>
      <c r="H56">
        <f>B56</f>
        <v>0</v>
      </c>
      <c r="I56" s="37">
        <f>(B57*(D57/100+1))+3</f>
        <v>3</v>
      </c>
      <c r="J56" s="30">
        <f>H56*I56</f>
        <v>0</v>
      </c>
      <c r="L56">
        <f t="shared" ref="L56" si="21">B56</f>
        <v>0</v>
      </c>
      <c r="M56" s="37">
        <v>38</v>
      </c>
      <c r="N56" s="30">
        <f t="shared" si="14"/>
        <v>0</v>
      </c>
    </row>
    <row r="57" spans="1:14" x14ac:dyDescent="0.25">
      <c r="A57" s="41" t="s">
        <v>194</v>
      </c>
      <c r="B57" s="41"/>
      <c r="C57" s="41"/>
      <c r="D57" s="41">
        <v>10</v>
      </c>
      <c r="I57" s="37"/>
      <c r="J57" s="30"/>
      <c r="M57" s="37"/>
      <c r="N57" s="30">
        <f t="shared" si="14"/>
        <v>0</v>
      </c>
    </row>
    <row r="58" spans="1:14" x14ac:dyDescent="0.25">
      <c r="A58" s="52"/>
      <c r="C58" s="52"/>
      <c r="D58" s="52"/>
      <c r="I58" s="37"/>
      <c r="J58" s="30"/>
      <c r="M58" s="37"/>
      <c r="N58" s="30">
        <f t="shared" si="14"/>
        <v>0</v>
      </c>
    </row>
    <row r="59" spans="1:14" x14ac:dyDescent="0.25">
      <c r="A59" s="41" t="s">
        <v>228</v>
      </c>
      <c r="B59" s="41"/>
      <c r="C59" s="60"/>
      <c r="D59" s="60"/>
      <c r="E59" s="25" t="s">
        <v>229</v>
      </c>
      <c r="H59">
        <v>1</v>
      </c>
      <c r="I59" s="37">
        <f>B60</f>
        <v>0</v>
      </c>
      <c r="J59" s="30">
        <f t="shared" ref="J59" si="22">H59*I59</f>
        <v>0</v>
      </c>
      <c r="L59">
        <f>B59</f>
        <v>0</v>
      </c>
      <c r="M59" s="37">
        <v>5.04</v>
      </c>
      <c r="N59" s="30">
        <f t="shared" si="14"/>
        <v>0</v>
      </c>
    </row>
    <row r="60" spans="1:14" x14ac:dyDescent="0.25">
      <c r="A60" s="41" t="s">
        <v>194</v>
      </c>
      <c r="B60" s="41"/>
      <c r="C60" s="41"/>
      <c r="D60" s="60"/>
      <c r="E60" s="25" t="s">
        <v>230</v>
      </c>
      <c r="I60" s="37"/>
      <c r="J60" s="30"/>
      <c r="M60" s="37"/>
      <c r="N60" s="30"/>
    </row>
    <row r="61" spans="1:14" x14ac:dyDescent="0.25">
      <c r="A61" s="52"/>
      <c r="C61" s="52"/>
      <c r="D61" s="66"/>
      <c r="I61" s="37"/>
      <c r="J61" s="30"/>
      <c r="M61" s="37"/>
      <c r="N61" s="30"/>
    </row>
    <row r="62" spans="1:14" x14ac:dyDescent="0.25">
      <c r="A62" s="41" t="s">
        <v>203</v>
      </c>
      <c r="B62" s="55">
        <v>350</v>
      </c>
      <c r="C62" s="41"/>
      <c r="D62" s="41"/>
      <c r="I62" s="37">
        <f t="shared" ref="I62" si="23">(B63*(D63/100+1))</f>
        <v>0</v>
      </c>
      <c r="J62" s="30">
        <f>B62</f>
        <v>350</v>
      </c>
      <c r="M62" s="37"/>
      <c r="N62" s="30">
        <f t="shared" ref="N62" si="24">L62*M62</f>
        <v>0</v>
      </c>
    </row>
    <row r="63" spans="1:14" x14ac:dyDescent="0.25">
      <c r="I63" s="37"/>
      <c r="L63">
        <f t="shared" ref="L63" si="25">B63</f>
        <v>0</v>
      </c>
    </row>
    <row r="64" spans="1:14" x14ac:dyDescent="0.25">
      <c r="I64" s="37" t="s">
        <v>209</v>
      </c>
      <c r="J64" s="30">
        <f>SUM(J41:J62)</f>
        <v>4200</v>
      </c>
      <c r="M64" t="s">
        <v>209</v>
      </c>
      <c r="N64" s="30">
        <f>SUM(N41:N63)</f>
        <v>1080</v>
      </c>
    </row>
    <row r="65" spans="1:14" x14ac:dyDescent="0.25">
      <c r="A65" t="s">
        <v>153</v>
      </c>
      <c r="B65" s="30">
        <f>J64/((100-B66)/100)</f>
        <v>4200</v>
      </c>
      <c r="I65" s="37"/>
    </row>
    <row r="66" spans="1:14" x14ac:dyDescent="0.25">
      <c r="A66" t="s">
        <v>169</v>
      </c>
      <c r="B66">
        <v>0</v>
      </c>
      <c r="I66" s="37"/>
    </row>
    <row r="67" spans="1:14" x14ac:dyDescent="0.25">
      <c r="I67" s="37"/>
    </row>
    <row r="68" spans="1:14" x14ac:dyDescent="0.25">
      <c r="A68" t="s">
        <v>210</v>
      </c>
      <c r="B68" s="30">
        <f>N64/((100-B69)/100)</f>
        <v>2160</v>
      </c>
      <c r="I68" s="37"/>
    </row>
    <row r="69" spans="1:14" x14ac:dyDescent="0.25">
      <c r="A69" t="s">
        <v>154</v>
      </c>
      <c r="B69">
        <v>50</v>
      </c>
      <c r="I69" s="37"/>
    </row>
    <row r="70" spans="1:14" x14ac:dyDescent="0.25">
      <c r="B70" s="4"/>
      <c r="E70" s="25"/>
      <c r="I70" s="68"/>
      <c r="J70" s="30"/>
      <c r="M70" s="68"/>
      <c r="N70" s="30"/>
    </row>
    <row r="71" spans="1:14" x14ac:dyDescent="0.25">
      <c r="H71" s="1" t="s">
        <v>114</v>
      </c>
      <c r="I71" s="37"/>
      <c r="L71" s="1" t="s">
        <v>76</v>
      </c>
    </row>
    <row r="72" spans="1:14" x14ac:dyDescent="0.25">
      <c r="A72" s="1" t="s">
        <v>108</v>
      </c>
      <c r="B72" s="1" t="s">
        <v>79</v>
      </c>
      <c r="I72" s="37"/>
    </row>
    <row r="73" spans="1:14" x14ac:dyDescent="0.25">
      <c r="A73" s="1" t="s">
        <v>222</v>
      </c>
      <c r="I73" s="37"/>
    </row>
    <row r="74" spans="1:14" x14ac:dyDescent="0.25">
      <c r="H74" s="1" t="s">
        <v>114</v>
      </c>
      <c r="I74" s="37"/>
      <c r="L74" s="1" t="s">
        <v>76</v>
      </c>
    </row>
    <row r="75" spans="1:14" x14ac:dyDescent="0.25">
      <c r="B75" s="1" t="s">
        <v>196</v>
      </c>
      <c r="C75" s="1" t="s">
        <v>125</v>
      </c>
      <c r="D75" s="1" t="s">
        <v>221</v>
      </c>
      <c r="H75" t="s">
        <v>198</v>
      </c>
      <c r="I75" s="37" t="s">
        <v>126</v>
      </c>
      <c r="J75" t="s">
        <v>155</v>
      </c>
      <c r="L75" t="s">
        <v>198</v>
      </c>
      <c r="M75" t="s">
        <v>126</v>
      </c>
      <c r="N75" t="s">
        <v>155</v>
      </c>
    </row>
    <row r="76" spans="1:14" x14ac:dyDescent="0.25">
      <c r="A76" s="41" t="s">
        <v>193</v>
      </c>
      <c r="B76" s="53"/>
      <c r="C76" s="60"/>
      <c r="D76" s="60"/>
      <c r="E76" s="25" t="s">
        <v>216</v>
      </c>
      <c r="H76">
        <f>B76</f>
        <v>0</v>
      </c>
      <c r="I76" s="37">
        <f>(B77*(D77/100+1))+1</f>
        <v>1</v>
      </c>
      <c r="J76" s="30">
        <f>H76*I76</f>
        <v>0</v>
      </c>
      <c r="L76">
        <f>B76</f>
        <v>0</v>
      </c>
      <c r="M76" s="37">
        <v>4.8</v>
      </c>
      <c r="N76" s="30">
        <f>L76*M76</f>
        <v>0</v>
      </c>
    </row>
    <row r="77" spans="1:14" x14ac:dyDescent="0.25">
      <c r="A77" s="41" t="s">
        <v>197</v>
      </c>
      <c r="B77" s="54"/>
      <c r="C77" s="41"/>
      <c r="D77" s="41">
        <v>10</v>
      </c>
      <c r="I77" s="37"/>
      <c r="J77" s="30">
        <f t="shared" ref="J77" si="26">H77*I77</f>
        <v>0</v>
      </c>
      <c r="M77" s="37"/>
      <c r="N77" s="30">
        <f t="shared" ref="N77:N94" si="27">L77*M77</f>
        <v>0</v>
      </c>
    </row>
    <row r="78" spans="1:14" x14ac:dyDescent="0.25">
      <c r="A78" s="52"/>
      <c r="B78" s="4"/>
      <c r="C78" s="52"/>
      <c r="D78" s="60"/>
      <c r="I78" s="37"/>
      <c r="J78" s="30"/>
      <c r="M78" s="37"/>
      <c r="N78" s="30">
        <f t="shared" si="27"/>
        <v>0</v>
      </c>
    </row>
    <row r="79" spans="1:14" x14ac:dyDescent="0.25">
      <c r="A79" s="41" t="s">
        <v>215</v>
      </c>
      <c r="B79" s="53"/>
      <c r="C79" s="60"/>
      <c r="D79" s="60"/>
      <c r="E79" s="25" t="s">
        <v>216</v>
      </c>
      <c r="H79">
        <f t="shared" ref="H79" si="28">B79</f>
        <v>0</v>
      </c>
      <c r="I79" s="37">
        <f>(B80*(D80/100+1))+1.5</f>
        <v>1.5</v>
      </c>
      <c r="J79" s="30">
        <f t="shared" ref="J79" si="29">H79*I79</f>
        <v>0</v>
      </c>
      <c r="L79">
        <f>B79</f>
        <v>0</v>
      </c>
      <c r="M79" s="37">
        <v>6.4</v>
      </c>
      <c r="N79" s="30">
        <f t="shared" si="27"/>
        <v>0</v>
      </c>
    </row>
    <row r="80" spans="1:14" x14ac:dyDescent="0.25">
      <c r="A80" s="41" t="s">
        <v>197</v>
      </c>
      <c r="B80" s="54"/>
      <c r="C80" s="41"/>
      <c r="D80" s="41">
        <v>10</v>
      </c>
      <c r="I80" s="37"/>
      <c r="J80" s="30"/>
      <c r="M80" s="37"/>
      <c r="N80" s="30">
        <f t="shared" si="27"/>
        <v>0</v>
      </c>
    </row>
    <row r="81" spans="1:14" x14ac:dyDescent="0.25">
      <c r="A81" s="52"/>
      <c r="B81" s="4"/>
      <c r="C81" s="52"/>
      <c r="D81" s="60"/>
      <c r="I81" s="37"/>
      <c r="J81" s="30"/>
      <c r="M81" s="37"/>
      <c r="N81" s="30">
        <f t="shared" si="27"/>
        <v>0</v>
      </c>
    </row>
    <row r="82" spans="1:14" x14ac:dyDescent="0.25">
      <c r="A82" s="41" t="s">
        <v>217</v>
      </c>
      <c r="B82" s="53"/>
      <c r="C82" s="60"/>
      <c r="D82" s="60"/>
      <c r="H82">
        <f>B82</f>
        <v>0</v>
      </c>
      <c r="I82" s="37">
        <f>(B83*(D83/100+1))</f>
        <v>0</v>
      </c>
      <c r="J82" s="30">
        <f t="shared" ref="J82" si="30">H82*I82</f>
        <v>0</v>
      </c>
      <c r="L82">
        <f>B82</f>
        <v>0</v>
      </c>
      <c r="M82" s="37">
        <v>10.8</v>
      </c>
      <c r="N82" s="30">
        <f t="shared" si="27"/>
        <v>0</v>
      </c>
    </row>
    <row r="83" spans="1:14" x14ac:dyDescent="0.25">
      <c r="A83" s="41" t="s">
        <v>197</v>
      </c>
      <c r="B83" s="54"/>
      <c r="C83" s="41"/>
      <c r="D83" s="41">
        <v>10</v>
      </c>
      <c r="I83" s="37"/>
      <c r="J83" s="30"/>
      <c r="M83" s="37"/>
      <c r="N83" s="30">
        <f t="shared" si="27"/>
        <v>0</v>
      </c>
    </row>
    <row r="84" spans="1:14" x14ac:dyDescent="0.25">
      <c r="A84" s="52"/>
      <c r="B84" s="4"/>
      <c r="C84" s="52"/>
      <c r="D84" s="60"/>
      <c r="I84" s="37"/>
      <c r="J84" s="30"/>
      <c r="M84" s="37"/>
      <c r="N84" s="30">
        <f t="shared" si="27"/>
        <v>0</v>
      </c>
    </row>
    <row r="85" spans="1:14" x14ac:dyDescent="0.25">
      <c r="A85" s="41" t="s">
        <v>218</v>
      </c>
      <c r="B85" s="53"/>
      <c r="C85" s="60"/>
      <c r="D85" s="60"/>
      <c r="H85">
        <f t="shared" ref="H85" si="31">B85</f>
        <v>0</v>
      </c>
      <c r="I85" s="37">
        <f>(B86*(D86/100+1))</f>
        <v>0</v>
      </c>
      <c r="J85" s="30">
        <f t="shared" ref="J85" si="32">H85*I85</f>
        <v>0</v>
      </c>
      <c r="L85">
        <f>B85</f>
        <v>0</v>
      </c>
      <c r="M85" s="37">
        <v>16</v>
      </c>
      <c r="N85" s="30">
        <f t="shared" si="27"/>
        <v>0</v>
      </c>
    </row>
    <row r="86" spans="1:14" x14ac:dyDescent="0.25">
      <c r="A86" s="41" t="s">
        <v>194</v>
      </c>
      <c r="B86" s="54"/>
      <c r="C86" s="51"/>
      <c r="D86" s="41">
        <v>10</v>
      </c>
      <c r="I86" s="37"/>
      <c r="J86" s="30"/>
      <c r="M86" s="37"/>
      <c r="N86" s="30">
        <f t="shared" si="27"/>
        <v>0</v>
      </c>
    </row>
    <row r="87" spans="1:14" x14ac:dyDescent="0.25">
      <c r="A87" s="52"/>
      <c r="B87" s="4"/>
      <c r="C87" s="52"/>
      <c r="D87" s="60"/>
      <c r="I87" s="37"/>
      <c r="M87" s="37"/>
      <c r="N87" s="30">
        <f t="shared" si="27"/>
        <v>0</v>
      </c>
    </row>
    <row r="88" spans="1:14" x14ac:dyDescent="0.25">
      <c r="A88" s="41" t="s">
        <v>219</v>
      </c>
      <c r="B88" s="53"/>
      <c r="C88" s="60"/>
      <c r="D88" s="60"/>
      <c r="H88">
        <f>B88</f>
        <v>0</v>
      </c>
      <c r="I88" s="37">
        <f>(B89*(D89/100+1))</f>
        <v>0</v>
      </c>
      <c r="J88" s="30">
        <f>H88*I88*1.1</f>
        <v>0</v>
      </c>
      <c r="L88">
        <f t="shared" ref="L88" si="33">B88</f>
        <v>0</v>
      </c>
      <c r="M88" s="37">
        <v>1.5</v>
      </c>
      <c r="N88" s="30">
        <f t="shared" si="27"/>
        <v>0</v>
      </c>
    </row>
    <row r="89" spans="1:14" x14ac:dyDescent="0.25">
      <c r="A89" s="41" t="s">
        <v>220</v>
      </c>
      <c r="B89" s="54"/>
      <c r="C89" s="41"/>
      <c r="D89" s="41">
        <v>10</v>
      </c>
      <c r="I89" s="37"/>
      <c r="J89" s="30"/>
      <c r="M89" s="37"/>
      <c r="N89" s="30">
        <f t="shared" si="27"/>
        <v>0</v>
      </c>
    </row>
    <row r="90" spans="1:14" x14ac:dyDescent="0.25">
      <c r="A90" s="52"/>
      <c r="C90" s="52"/>
      <c r="D90" s="65"/>
      <c r="I90" s="37"/>
      <c r="J90" s="30"/>
      <c r="M90" s="37"/>
      <c r="N90" s="30">
        <f t="shared" si="27"/>
        <v>0</v>
      </c>
    </row>
    <row r="91" spans="1:14" x14ac:dyDescent="0.25">
      <c r="A91" s="41" t="s">
        <v>223</v>
      </c>
      <c r="B91" s="41"/>
      <c r="C91" s="60"/>
      <c r="D91" s="60"/>
      <c r="H91">
        <f>B91</f>
        <v>0</v>
      </c>
      <c r="I91" s="37">
        <f>(B92*(D92/100+1))+3</f>
        <v>3</v>
      </c>
      <c r="J91" s="30">
        <f>H91*I91</f>
        <v>0</v>
      </c>
      <c r="L91">
        <f t="shared" ref="L91" si="34">B91</f>
        <v>0</v>
      </c>
      <c r="M91" s="37">
        <v>38</v>
      </c>
      <c r="N91" s="30">
        <f t="shared" si="27"/>
        <v>0</v>
      </c>
    </row>
    <row r="92" spans="1:14" x14ac:dyDescent="0.25">
      <c r="A92" s="41" t="s">
        <v>194</v>
      </c>
      <c r="B92" s="41"/>
      <c r="C92" s="41"/>
      <c r="D92" s="41">
        <v>10</v>
      </c>
      <c r="I92" s="37"/>
      <c r="J92" s="30"/>
      <c r="M92" s="37"/>
      <c r="N92" s="30">
        <f t="shared" si="27"/>
        <v>0</v>
      </c>
    </row>
    <row r="93" spans="1:14" x14ac:dyDescent="0.25">
      <c r="A93" s="52"/>
      <c r="C93" s="52"/>
      <c r="D93" s="52"/>
      <c r="I93" s="37"/>
      <c r="J93" s="30"/>
      <c r="M93" s="37"/>
      <c r="N93" s="30">
        <f t="shared" si="27"/>
        <v>0</v>
      </c>
    </row>
    <row r="94" spans="1:14" x14ac:dyDescent="0.25">
      <c r="A94" s="41" t="s">
        <v>228</v>
      </c>
      <c r="B94" s="41"/>
      <c r="C94" s="60"/>
      <c r="D94" s="60"/>
      <c r="E94" s="25" t="s">
        <v>229</v>
      </c>
      <c r="H94">
        <v>1</v>
      </c>
      <c r="I94" s="37">
        <f>B95</f>
        <v>0</v>
      </c>
      <c r="J94" s="30">
        <f t="shared" ref="J94" si="35">H94*I94</f>
        <v>0</v>
      </c>
      <c r="L94">
        <f>B94</f>
        <v>0</v>
      </c>
      <c r="M94" s="37">
        <v>5.04</v>
      </c>
      <c r="N94" s="30">
        <f t="shared" si="27"/>
        <v>0</v>
      </c>
    </row>
    <row r="95" spans="1:14" x14ac:dyDescent="0.25">
      <c r="A95" s="41" t="s">
        <v>194</v>
      </c>
      <c r="B95" s="41"/>
      <c r="C95" s="41"/>
      <c r="D95" s="60"/>
      <c r="E95" s="25" t="s">
        <v>230</v>
      </c>
      <c r="I95" s="37"/>
      <c r="J95" s="30"/>
      <c r="M95" s="37"/>
      <c r="N95" s="30"/>
    </row>
    <row r="96" spans="1:14" x14ac:dyDescent="0.25">
      <c r="A96" s="52"/>
      <c r="C96" s="52"/>
      <c r="D96" s="66"/>
      <c r="I96" s="37"/>
      <c r="J96" s="30"/>
      <c r="M96" s="37"/>
      <c r="N96" s="30"/>
    </row>
    <row r="97" spans="1:14" x14ac:dyDescent="0.25">
      <c r="A97" s="41" t="s">
        <v>203</v>
      </c>
      <c r="B97" s="55"/>
      <c r="C97" s="41"/>
      <c r="D97" s="41"/>
      <c r="I97" s="37">
        <f t="shared" ref="I97" si="36">(B98*(D98/100+1))</f>
        <v>0</v>
      </c>
      <c r="J97" s="30">
        <f>B97</f>
        <v>0</v>
      </c>
      <c r="M97" s="37"/>
      <c r="N97" s="30">
        <f t="shared" ref="N97" si="37">L97*M97</f>
        <v>0</v>
      </c>
    </row>
    <row r="98" spans="1:14" x14ac:dyDescent="0.25">
      <c r="I98" s="37"/>
      <c r="L98">
        <f t="shared" ref="L98" si="38">B98</f>
        <v>0</v>
      </c>
    </row>
    <row r="99" spans="1:14" x14ac:dyDescent="0.25">
      <c r="I99" s="37" t="s">
        <v>209</v>
      </c>
      <c r="J99" s="30">
        <f>SUM(J76:J97)</f>
        <v>0</v>
      </c>
      <c r="M99" t="s">
        <v>209</v>
      </c>
      <c r="N99" s="30">
        <f>SUM(N76:N98)</f>
        <v>0</v>
      </c>
    </row>
    <row r="100" spans="1:14" x14ac:dyDescent="0.25">
      <c r="A100" t="s">
        <v>153</v>
      </c>
      <c r="B100" s="30">
        <f>J99/((100-B101)/100)</f>
        <v>0</v>
      </c>
      <c r="I100" s="37"/>
    </row>
    <row r="101" spans="1:14" x14ac:dyDescent="0.25">
      <c r="A101" t="s">
        <v>169</v>
      </c>
      <c r="B101">
        <v>0</v>
      </c>
      <c r="I101" s="37"/>
    </row>
    <row r="102" spans="1:14" x14ac:dyDescent="0.25">
      <c r="I102" s="37"/>
    </row>
    <row r="103" spans="1:14" x14ac:dyDescent="0.25">
      <c r="A103" t="s">
        <v>210</v>
      </c>
      <c r="B103" s="30">
        <f>N99/((100-B104)/100)</f>
        <v>0</v>
      </c>
      <c r="I103" s="37"/>
    </row>
    <row r="104" spans="1:14" x14ac:dyDescent="0.25">
      <c r="A104" t="s">
        <v>154</v>
      </c>
      <c r="B104">
        <v>0</v>
      </c>
      <c r="I104" s="37"/>
    </row>
    <row r="105" spans="1:14" x14ac:dyDescent="0.25">
      <c r="B105" s="34"/>
      <c r="I105" s="68"/>
      <c r="J105" s="30"/>
      <c r="M105" s="68"/>
      <c r="N105" s="30"/>
    </row>
    <row r="106" spans="1:14" x14ac:dyDescent="0.25">
      <c r="H106" s="1" t="s">
        <v>114</v>
      </c>
      <c r="I106" s="37"/>
      <c r="L106" s="1" t="s">
        <v>76</v>
      </c>
    </row>
    <row r="107" spans="1:14" x14ac:dyDescent="0.25">
      <c r="A107" s="1" t="s">
        <v>109</v>
      </c>
      <c r="B107" s="1" t="s">
        <v>79</v>
      </c>
      <c r="I107" s="37"/>
    </row>
    <row r="108" spans="1:14" x14ac:dyDescent="0.25">
      <c r="A108" s="1" t="s">
        <v>222</v>
      </c>
      <c r="B108" t="s">
        <v>224</v>
      </c>
      <c r="I108" s="37"/>
    </row>
    <row r="109" spans="1:14" x14ac:dyDescent="0.25">
      <c r="H109" s="1" t="s">
        <v>114</v>
      </c>
      <c r="I109" s="37"/>
      <c r="L109" s="1" t="s">
        <v>76</v>
      </c>
    </row>
    <row r="110" spans="1:14" x14ac:dyDescent="0.25">
      <c r="B110" s="1" t="s">
        <v>196</v>
      </c>
      <c r="C110" s="1" t="s">
        <v>125</v>
      </c>
      <c r="D110" s="1" t="s">
        <v>221</v>
      </c>
      <c r="H110" t="s">
        <v>198</v>
      </c>
      <c r="I110" s="37" t="s">
        <v>126</v>
      </c>
      <c r="J110" t="s">
        <v>155</v>
      </c>
      <c r="L110" t="s">
        <v>198</v>
      </c>
      <c r="M110" t="s">
        <v>126</v>
      </c>
      <c r="N110" t="s">
        <v>155</v>
      </c>
    </row>
    <row r="111" spans="1:14" x14ac:dyDescent="0.25">
      <c r="A111" s="41" t="s">
        <v>193</v>
      </c>
      <c r="B111" s="53"/>
      <c r="C111" s="60"/>
      <c r="D111" s="60"/>
      <c r="E111" s="25" t="s">
        <v>216</v>
      </c>
      <c r="H111">
        <f>B111</f>
        <v>0</v>
      </c>
      <c r="I111" s="37">
        <f>(B112*(D112/100+1))+1</f>
        <v>1</v>
      </c>
      <c r="J111" s="30">
        <f>H111*I111</f>
        <v>0</v>
      </c>
      <c r="L111">
        <f>B111</f>
        <v>0</v>
      </c>
      <c r="M111" s="37">
        <v>4.8</v>
      </c>
      <c r="N111" s="30">
        <f>L111*M111</f>
        <v>0</v>
      </c>
    </row>
    <row r="112" spans="1:14" x14ac:dyDescent="0.25">
      <c r="A112" s="41" t="s">
        <v>197</v>
      </c>
      <c r="B112" s="54"/>
      <c r="C112" s="41"/>
      <c r="D112" s="41">
        <v>10</v>
      </c>
      <c r="I112" s="37"/>
      <c r="J112" s="30">
        <f t="shared" ref="J112" si="39">H112*I112</f>
        <v>0</v>
      </c>
      <c r="M112" s="37"/>
      <c r="N112" s="30">
        <f t="shared" ref="N112:N129" si="40">L112*M112</f>
        <v>0</v>
      </c>
    </row>
    <row r="113" spans="1:14" x14ac:dyDescent="0.25">
      <c r="A113" s="52"/>
      <c r="B113" s="4"/>
      <c r="C113" s="52"/>
      <c r="D113" s="60"/>
      <c r="I113" s="37"/>
      <c r="J113" s="30"/>
      <c r="M113" s="37"/>
      <c r="N113" s="30">
        <f t="shared" si="40"/>
        <v>0</v>
      </c>
    </row>
    <row r="114" spans="1:14" x14ac:dyDescent="0.25">
      <c r="A114" s="41" t="s">
        <v>215</v>
      </c>
      <c r="B114" s="53"/>
      <c r="C114" s="60"/>
      <c r="D114" s="60"/>
      <c r="E114" s="25" t="s">
        <v>216</v>
      </c>
      <c r="H114">
        <f t="shared" ref="H114" si="41">B114</f>
        <v>0</v>
      </c>
      <c r="I114" s="37">
        <f>(B115*(D115/100+1))+1.5</f>
        <v>1.5</v>
      </c>
      <c r="J114" s="30">
        <f t="shared" ref="J114" si="42">H114*I114</f>
        <v>0</v>
      </c>
      <c r="L114">
        <f>B114</f>
        <v>0</v>
      </c>
      <c r="M114" s="37">
        <v>6.4</v>
      </c>
      <c r="N114" s="30">
        <f t="shared" si="40"/>
        <v>0</v>
      </c>
    </row>
    <row r="115" spans="1:14" x14ac:dyDescent="0.25">
      <c r="A115" s="41" t="s">
        <v>197</v>
      </c>
      <c r="B115" s="54"/>
      <c r="C115" s="41"/>
      <c r="D115" s="41">
        <v>10</v>
      </c>
      <c r="I115" s="37"/>
      <c r="J115" s="30"/>
      <c r="M115" s="37"/>
      <c r="N115" s="30">
        <f t="shared" si="40"/>
        <v>0</v>
      </c>
    </row>
    <row r="116" spans="1:14" x14ac:dyDescent="0.25">
      <c r="A116" s="52"/>
      <c r="B116" s="4"/>
      <c r="C116" s="52"/>
      <c r="D116" s="60"/>
      <c r="I116" s="37"/>
      <c r="J116" s="30"/>
      <c r="M116" s="37"/>
      <c r="N116" s="30">
        <f t="shared" si="40"/>
        <v>0</v>
      </c>
    </row>
    <row r="117" spans="1:14" x14ac:dyDescent="0.25">
      <c r="A117" s="41" t="s">
        <v>217</v>
      </c>
      <c r="B117" s="53"/>
      <c r="C117" s="60"/>
      <c r="D117" s="60"/>
      <c r="H117">
        <f>B117</f>
        <v>0</v>
      </c>
      <c r="I117" s="37">
        <f>(B118*(D118/100+1))</f>
        <v>0</v>
      </c>
      <c r="J117" s="30">
        <f t="shared" ref="J117" si="43">H117*I117</f>
        <v>0</v>
      </c>
      <c r="L117">
        <f>B117</f>
        <v>0</v>
      </c>
      <c r="M117" s="37">
        <v>10.8</v>
      </c>
      <c r="N117" s="30">
        <f t="shared" si="40"/>
        <v>0</v>
      </c>
    </row>
    <row r="118" spans="1:14" x14ac:dyDescent="0.25">
      <c r="A118" s="41" t="s">
        <v>197</v>
      </c>
      <c r="B118" s="54"/>
      <c r="C118" s="41"/>
      <c r="D118" s="41">
        <v>10</v>
      </c>
      <c r="I118" s="37"/>
      <c r="J118" s="30"/>
      <c r="M118" s="37"/>
      <c r="N118" s="30">
        <f t="shared" si="40"/>
        <v>0</v>
      </c>
    </row>
    <row r="119" spans="1:14" x14ac:dyDescent="0.25">
      <c r="A119" s="52"/>
      <c r="B119" s="4"/>
      <c r="C119" s="52"/>
      <c r="D119" s="60"/>
      <c r="I119" s="37"/>
      <c r="J119" s="30"/>
      <c r="M119" s="37"/>
      <c r="N119" s="30">
        <f t="shared" si="40"/>
        <v>0</v>
      </c>
    </row>
    <row r="120" spans="1:14" x14ac:dyDescent="0.25">
      <c r="A120" s="41" t="s">
        <v>218</v>
      </c>
      <c r="B120" s="53"/>
      <c r="C120" s="60"/>
      <c r="D120" s="60"/>
      <c r="H120">
        <f t="shared" ref="H120" si="44">B120</f>
        <v>0</v>
      </c>
      <c r="I120" s="37">
        <f>(B121*(D121/100+1))</f>
        <v>0</v>
      </c>
      <c r="J120" s="30">
        <f t="shared" ref="J120" si="45">H120*I120</f>
        <v>0</v>
      </c>
      <c r="L120">
        <f>B120</f>
        <v>0</v>
      </c>
      <c r="M120" s="37">
        <v>16</v>
      </c>
      <c r="N120" s="30">
        <f t="shared" si="40"/>
        <v>0</v>
      </c>
    </row>
    <row r="121" spans="1:14" x14ac:dyDescent="0.25">
      <c r="A121" s="41" t="s">
        <v>194</v>
      </c>
      <c r="B121" s="54"/>
      <c r="C121" s="51"/>
      <c r="D121" s="41">
        <v>10</v>
      </c>
      <c r="I121" s="37"/>
      <c r="J121" s="30"/>
      <c r="M121" s="37"/>
      <c r="N121" s="30">
        <f t="shared" si="40"/>
        <v>0</v>
      </c>
    </row>
    <row r="122" spans="1:14" x14ac:dyDescent="0.25">
      <c r="A122" s="52"/>
      <c r="B122" s="4"/>
      <c r="C122" s="52"/>
      <c r="D122" s="60"/>
      <c r="I122" s="37"/>
      <c r="M122" s="37"/>
      <c r="N122" s="30">
        <f t="shared" si="40"/>
        <v>0</v>
      </c>
    </row>
    <row r="123" spans="1:14" x14ac:dyDescent="0.25">
      <c r="A123" s="41" t="s">
        <v>219</v>
      </c>
      <c r="B123" s="53"/>
      <c r="C123" s="60"/>
      <c r="D123" s="60"/>
      <c r="H123">
        <f>B123</f>
        <v>0</v>
      </c>
      <c r="I123" s="37">
        <f>(B124*(D124/100+1))</f>
        <v>0</v>
      </c>
      <c r="J123" s="30">
        <f>H123*I123*1.1</f>
        <v>0</v>
      </c>
      <c r="L123">
        <f t="shared" ref="L123" si="46">B123</f>
        <v>0</v>
      </c>
      <c r="M123" s="37">
        <v>1.5</v>
      </c>
      <c r="N123" s="30">
        <f t="shared" si="40"/>
        <v>0</v>
      </c>
    </row>
    <row r="124" spans="1:14" x14ac:dyDescent="0.25">
      <c r="A124" s="41" t="s">
        <v>220</v>
      </c>
      <c r="B124" s="54"/>
      <c r="C124" s="41"/>
      <c r="D124" s="41">
        <v>10</v>
      </c>
      <c r="I124" s="37"/>
      <c r="J124" s="30"/>
      <c r="M124" s="37"/>
      <c r="N124" s="30">
        <f t="shared" si="40"/>
        <v>0</v>
      </c>
    </row>
    <row r="125" spans="1:14" x14ac:dyDescent="0.25">
      <c r="A125" s="52"/>
      <c r="C125" s="52"/>
      <c r="D125" s="65"/>
      <c r="I125" s="37"/>
      <c r="J125" s="30"/>
      <c r="M125" s="37"/>
      <c r="N125" s="30">
        <f t="shared" si="40"/>
        <v>0</v>
      </c>
    </row>
    <row r="126" spans="1:14" x14ac:dyDescent="0.25">
      <c r="A126" s="41" t="s">
        <v>223</v>
      </c>
      <c r="B126" s="41"/>
      <c r="C126" s="60"/>
      <c r="D126" s="60"/>
      <c r="H126">
        <f>B126</f>
        <v>0</v>
      </c>
      <c r="I126" s="37">
        <f>(B127*(D127/100+1))+3</f>
        <v>3</v>
      </c>
      <c r="J126" s="30">
        <f>H126*I126</f>
        <v>0</v>
      </c>
      <c r="L126">
        <f t="shared" ref="L126" si="47">B126</f>
        <v>0</v>
      </c>
      <c r="M126" s="37">
        <v>38</v>
      </c>
      <c r="N126" s="30">
        <f t="shared" si="40"/>
        <v>0</v>
      </c>
    </row>
    <row r="127" spans="1:14" x14ac:dyDescent="0.25">
      <c r="A127" s="41" t="s">
        <v>194</v>
      </c>
      <c r="B127" s="41"/>
      <c r="C127" s="41"/>
      <c r="D127" s="41">
        <v>10</v>
      </c>
      <c r="I127" s="37"/>
      <c r="J127" s="30"/>
      <c r="M127" s="37"/>
      <c r="N127" s="30">
        <f t="shared" si="40"/>
        <v>0</v>
      </c>
    </row>
    <row r="128" spans="1:14" x14ac:dyDescent="0.25">
      <c r="A128" s="52"/>
      <c r="C128" s="52"/>
      <c r="D128" s="52"/>
      <c r="I128" s="37"/>
      <c r="J128" s="30"/>
      <c r="M128" s="37"/>
      <c r="N128" s="30">
        <f t="shared" si="40"/>
        <v>0</v>
      </c>
    </row>
    <row r="129" spans="1:14" x14ac:dyDescent="0.25">
      <c r="A129" s="41" t="s">
        <v>228</v>
      </c>
      <c r="B129" s="41"/>
      <c r="C129" s="60"/>
      <c r="D129" s="60"/>
      <c r="E129" s="25" t="s">
        <v>229</v>
      </c>
      <c r="H129">
        <v>1</v>
      </c>
      <c r="I129" s="37">
        <f>B130</f>
        <v>0</v>
      </c>
      <c r="J129" s="30">
        <f t="shared" ref="J129" si="48">H129*I129</f>
        <v>0</v>
      </c>
      <c r="L129">
        <f>B129</f>
        <v>0</v>
      </c>
      <c r="M129" s="37">
        <v>5.04</v>
      </c>
      <c r="N129" s="30">
        <f t="shared" si="40"/>
        <v>0</v>
      </c>
    </row>
    <row r="130" spans="1:14" x14ac:dyDescent="0.25">
      <c r="A130" s="41" t="s">
        <v>194</v>
      </c>
      <c r="B130" s="41"/>
      <c r="C130" s="41"/>
      <c r="D130" s="60"/>
      <c r="E130" s="25" t="s">
        <v>230</v>
      </c>
      <c r="I130" s="37"/>
      <c r="J130" s="30"/>
      <c r="M130" s="37"/>
      <c r="N130" s="30"/>
    </row>
    <row r="131" spans="1:14" x14ac:dyDescent="0.25">
      <c r="A131" s="52"/>
      <c r="C131" s="52"/>
      <c r="D131" s="66"/>
      <c r="I131" s="37"/>
      <c r="J131" s="30"/>
      <c r="M131" s="37"/>
      <c r="N131" s="30"/>
    </row>
    <row r="132" spans="1:14" x14ac:dyDescent="0.25">
      <c r="A132" s="41" t="s">
        <v>203</v>
      </c>
      <c r="B132" s="55"/>
      <c r="C132" s="41"/>
      <c r="D132" s="41"/>
      <c r="I132" s="37">
        <f t="shared" ref="I132" si="49">(B133*(D133/100+1))</f>
        <v>0</v>
      </c>
      <c r="J132" s="30">
        <f>B132</f>
        <v>0</v>
      </c>
      <c r="M132" s="37"/>
      <c r="N132" s="30">
        <f t="shared" ref="N132" si="50">L132*M132</f>
        <v>0</v>
      </c>
    </row>
    <row r="133" spans="1:14" x14ac:dyDescent="0.25">
      <c r="I133" s="37"/>
      <c r="L133">
        <f t="shared" ref="L133" si="51">B133</f>
        <v>0</v>
      </c>
    </row>
    <row r="134" spans="1:14" x14ac:dyDescent="0.25">
      <c r="I134" s="37" t="s">
        <v>209</v>
      </c>
      <c r="J134" s="30">
        <f>SUM(J111:J132)</f>
        <v>0</v>
      </c>
      <c r="M134" t="s">
        <v>209</v>
      </c>
      <c r="N134" s="30">
        <f>SUM(N111:N133)</f>
        <v>0</v>
      </c>
    </row>
    <row r="135" spans="1:14" x14ac:dyDescent="0.25">
      <c r="A135" t="s">
        <v>153</v>
      </c>
      <c r="B135" s="30">
        <f>J134/((100-B136)/100)</f>
        <v>0</v>
      </c>
      <c r="I135" s="37"/>
    </row>
    <row r="136" spans="1:14" x14ac:dyDescent="0.25">
      <c r="A136" t="s">
        <v>169</v>
      </c>
      <c r="B136">
        <v>0</v>
      </c>
      <c r="I136" s="37"/>
    </row>
    <row r="137" spans="1:14" x14ac:dyDescent="0.25">
      <c r="I137" s="37"/>
    </row>
    <row r="138" spans="1:14" x14ac:dyDescent="0.25">
      <c r="A138" t="s">
        <v>210</v>
      </c>
      <c r="B138" s="30">
        <f>N134/((100-B139)/100)</f>
        <v>0</v>
      </c>
      <c r="I138" s="37"/>
    </row>
    <row r="139" spans="1:14" x14ac:dyDescent="0.25">
      <c r="A139" t="s">
        <v>154</v>
      </c>
      <c r="B139">
        <v>0</v>
      </c>
      <c r="I139" s="37"/>
    </row>
    <row r="140" spans="1:14" x14ac:dyDescent="0.25">
      <c r="B140" s="4"/>
      <c r="I140" s="68"/>
      <c r="J140" s="30"/>
      <c r="M140" s="68"/>
      <c r="N140" s="30"/>
    </row>
    <row r="141" spans="1:14" x14ac:dyDescent="0.25">
      <c r="B141" s="4"/>
      <c r="I141" s="68"/>
      <c r="J141" s="30"/>
      <c r="M141" s="68"/>
      <c r="N141" s="30"/>
    </row>
    <row r="142" spans="1:14" x14ac:dyDescent="0.25">
      <c r="A142" s="1" t="s">
        <v>110</v>
      </c>
      <c r="B142" s="1" t="s">
        <v>79</v>
      </c>
      <c r="I142" s="37"/>
    </row>
    <row r="143" spans="1:14" x14ac:dyDescent="0.25">
      <c r="A143" s="1" t="s">
        <v>222</v>
      </c>
      <c r="B143" t="s">
        <v>224</v>
      </c>
      <c r="I143" s="37"/>
    </row>
    <row r="144" spans="1:14" x14ac:dyDescent="0.25">
      <c r="H144" s="1" t="s">
        <v>114</v>
      </c>
      <c r="I144" s="37"/>
      <c r="L144" s="1" t="s">
        <v>76</v>
      </c>
    </row>
    <row r="145" spans="1:14" x14ac:dyDescent="0.25">
      <c r="B145" s="1" t="s">
        <v>196</v>
      </c>
      <c r="C145" s="1" t="s">
        <v>125</v>
      </c>
      <c r="D145" s="1" t="s">
        <v>221</v>
      </c>
      <c r="H145" t="s">
        <v>198</v>
      </c>
      <c r="I145" s="37" t="s">
        <v>126</v>
      </c>
      <c r="J145" t="s">
        <v>155</v>
      </c>
      <c r="L145" t="s">
        <v>198</v>
      </c>
      <c r="M145" t="s">
        <v>126</v>
      </c>
      <c r="N145" t="s">
        <v>155</v>
      </c>
    </row>
    <row r="146" spans="1:14" x14ac:dyDescent="0.25">
      <c r="A146" s="41" t="s">
        <v>193</v>
      </c>
      <c r="B146" s="53"/>
      <c r="C146" s="60"/>
      <c r="D146" s="60"/>
      <c r="E146" s="25" t="s">
        <v>216</v>
      </c>
      <c r="H146">
        <f>B146</f>
        <v>0</v>
      </c>
      <c r="I146" s="37">
        <f>(B147*(D147/100+1))+1</f>
        <v>1</v>
      </c>
      <c r="J146" s="30">
        <f>H146*I146</f>
        <v>0</v>
      </c>
      <c r="L146">
        <f>B146</f>
        <v>0</v>
      </c>
      <c r="M146" s="37">
        <v>4.8</v>
      </c>
      <c r="N146" s="30">
        <f>L146*M146</f>
        <v>0</v>
      </c>
    </row>
    <row r="147" spans="1:14" x14ac:dyDescent="0.25">
      <c r="A147" s="41" t="s">
        <v>197</v>
      </c>
      <c r="B147" s="54"/>
      <c r="C147" s="41"/>
      <c r="D147" s="41">
        <v>10</v>
      </c>
      <c r="I147" s="37"/>
      <c r="J147" s="30">
        <f t="shared" ref="J147" si="52">H147*I147</f>
        <v>0</v>
      </c>
      <c r="M147" s="37"/>
      <c r="N147" s="30">
        <f t="shared" ref="N147:N164" si="53">L147*M147</f>
        <v>0</v>
      </c>
    </row>
    <row r="148" spans="1:14" x14ac:dyDescent="0.25">
      <c r="A148" s="52"/>
      <c r="B148" s="4"/>
      <c r="C148" s="52"/>
      <c r="D148" s="60"/>
      <c r="I148" s="37"/>
      <c r="J148" s="30"/>
      <c r="M148" s="37"/>
      <c r="N148" s="30">
        <f t="shared" si="53"/>
        <v>0</v>
      </c>
    </row>
    <row r="149" spans="1:14" x14ac:dyDescent="0.25">
      <c r="A149" s="41" t="s">
        <v>215</v>
      </c>
      <c r="B149" s="53"/>
      <c r="C149" s="60"/>
      <c r="D149" s="60"/>
      <c r="E149" s="25" t="s">
        <v>216</v>
      </c>
      <c r="H149">
        <f t="shared" ref="H149" si="54">B149</f>
        <v>0</v>
      </c>
      <c r="I149" s="37">
        <f>(B150*(D150/100+1))+1.5</f>
        <v>1.5</v>
      </c>
      <c r="J149" s="30">
        <f t="shared" ref="J149" si="55">H149*I149</f>
        <v>0</v>
      </c>
      <c r="L149">
        <f>B149</f>
        <v>0</v>
      </c>
      <c r="M149" s="37">
        <v>6.4</v>
      </c>
      <c r="N149" s="30">
        <f t="shared" si="53"/>
        <v>0</v>
      </c>
    </row>
    <row r="150" spans="1:14" x14ac:dyDescent="0.25">
      <c r="A150" s="41" t="s">
        <v>197</v>
      </c>
      <c r="B150" s="54"/>
      <c r="C150" s="41"/>
      <c r="D150" s="41">
        <v>10</v>
      </c>
      <c r="I150" s="37"/>
      <c r="J150" s="30"/>
      <c r="M150" s="37"/>
      <c r="N150" s="30">
        <f t="shared" si="53"/>
        <v>0</v>
      </c>
    </row>
    <row r="151" spans="1:14" x14ac:dyDescent="0.25">
      <c r="A151" s="52"/>
      <c r="B151" s="4"/>
      <c r="C151" s="52"/>
      <c r="D151" s="60"/>
      <c r="I151" s="37"/>
      <c r="J151" s="30"/>
      <c r="M151" s="37"/>
      <c r="N151" s="30">
        <f t="shared" si="53"/>
        <v>0</v>
      </c>
    </row>
    <row r="152" spans="1:14" x14ac:dyDescent="0.25">
      <c r="A152" s="41" t="s">
        <v>217</v>
      </c>
      <c r="B152" s="53"/>
      <c r="C152" s="60"/>
      <c r="D152" s="60"/>
      <c r="H152">
        <f>B152</f>
        <v>0</v>
      </c>
      <c r="I152" s="37">
        <f>(B153*(D153/100+1))</f>
        <v>0</v>
      </c>
      <c r="J152" s="30">
        <f t="shared" ref="J152" si="56">H152*I152</f>
        <v>0</v>
      </c>
      <c r="L152">
        <f>B152</f>
        <v>0</v>
      </c>
      <c r="M152" s="37">
        <v>10.8</v>
      </c>
      <c r="N152" s="30">
        <f t="shared" si="53"/>
        <v>0</v>
      </c>
    </row>
    <row r="153" spans="1:14" x14ac:dyDescent="0.25">
      <c r="A153" s="41" t="s">
        <v>197</v>
      </c>
      <c r="B153" s="54"/>
      <c r="C153" s="41"/>
      <c r="D153" s="41">
        <v>10</v>
      </c>
      <c r="I153" s="37"/>
      <c r="J153" s="30"/>
      <c r="M153" s="37"/>
      <c r="N153" s="30">
        <f t="shared" si="53"/>
        <v>0</v>
      </c>
    </row>
    <row r="154" spans="1:14" x14ac:dyDescent="0.25">
      <c r="A154" s="52"/>
      <c r="B154" s="4"/>
      <c r="C154" s="52"/>
      <c r="D154" s="60"/>
      <c r="I154" s="37"/>
      <c r="J154" s="30"/>
      <c r="M154" s="37"/>
      <c r="N154" s="30">
        <f t="shared" si="53"/>
        <v>0</v>
      </c>
    </row>
    <row r="155" spans="1:14" x14ac:dyDescent="0.25">
      <c r="A155" s="41" t="s">
        <v>218</v>
      </c>
      <c r="B155" s="53"/>
      <c r="C155" s="60"/>
      <c r="D155" s="60"/>
      <c r="H155">
        <f t="shared" ref="H155" si="57">B155</f>
        <v>0</v>
      </c>
      <c r="I155" s="37">
        <f>(B156*(D156/100+1))</f>
        <v>0</v>
      </c>
      <c r="J155" s="30">
        <f t="shared" ref="J155" si="58">H155*I155</f>
        <v>0</v>
      </c>
      <c r="L155">
        <f>B155</f>
        <v>0</v>
      </c>
      <c r="M155" s="37">
        <v>16</v>
      </c>
      <c r="N155" s="30">
        <f t="shared" si="53"/>
        <v>0</v>
      </c>
    </row>
    <row r="156" spans="1:14" x14ac:dyDescent="0.25">
      <c r="A156" s="41" t="s">
        <v>194</v>
      </c>
      <c r="B156" s="54"/>
      <c r="C156" s="51"/>
      <c r="D156" s="41">
        <v>10</v>
      </c>
      <c r="I156" s="37"/>
      <c r="J156" s="30"/>
      <c r="M156" s="37"/>
      <c r="N156" s="30">
        <f t="shared" si="53"/>
        <v>0</v>
      </c>
    </row>
    <row r="157" spans="1:14" x14ac:dyDescent="0.25">
      <c r="A157" s="52"/>
      <c r="B157" s="4"/>
      <c r="C157" s="52"/>
      <c r="D157" s="60"/>
      <c r="I157" s="37"/>
      <c r="M157" s="37"/>
      <c r="N157" s="30">
        <f t="shared" si="53"/>
        <v>0</v>
      </c>
    </row>
    <row r="158" spans="1:14" x14ac:dyDescent="0.25">
      <c r="A158" s="41" t="s">
        <v>219</v>
      </c>
      <c r="B158" s="53"/>
      <c r="C158" s="60"/>
      <c r="D158" s="60"/>
      <c r="H158">
        <f>B158</f>
        <v>0</v>
      </c>
      <c r="I158" s="37">
        <f>(B159*(D159/100+1))</f>
        <v>0</v>
      </c>
      <c r="J158" s="30">
        <f>H158*I158*1.1</f>
        <v>0</v>
      </c>
      <c r="L158">
        <f t="shared" ref="L158" si="59">B158</f>
        <v>0</v>
      </c>
      <c r="M158" s="37">
        <v>1.5</v>
      </c>
      <c r="N158" s="30">
        <f t="shared" si="53"/>
        <v>0</v>
      </c>
    </row>
    <row r="159" spans="1:14" x14ac:dyDescent="0.25">
      <c r="A159" s="41" t="s">
        <v>220</v>
      </c>
      <c r="B159" s="54"/>
      <c r="C159" s="41"/>
      <c r="D159" s="41">
        <v>10</v>
      </c>
      <c r="I159" s="37"/>
      <c r="J159" s="30"/>
      <c r="M159" s="37"/>
      <c r="N159" s="30">
        <f t="shared" si="53"/>
        <v>0</v>
      </c>
    </row>
    <row r="160" spans="1:14" x14ac:dyDescent="0.25">
      <c r="A160" s="52"/>
      <c r="C160" s="52"/>
      <c r="D160" s="65"/>
      <c r="I160" s="37"/>
      <c r="J160" s="30"/>
      <c r="M160" s="37"/>
      <c r="N160" s="30">
        <f t="shared" si="53"/>
        <v>0</v>
      </c>
    </row>
    <row r="161" spans="1:14" x14ac:dyDescent="0.25">
      <c r="A161" s="41" t="s">
        <v>223</v>
      </c>
      <c r="B161" s="41"/>
      <c r="C161" s="60"/>
      <c r="D161" s="60"/>
      <c r="H161">
        <f>B161</f>
        <v>0</v>
      </c>
      <c r="I161" s="37">
        <f>(B162*(D162/100+1))+3</f>
        <v>3</v>
      </c>
      <c r="J161" s="30">
        <f>H161*I161</f>
        <v>0</v>
      </c>
      <c r="L161">
        <f t="shared" ref="L161" si="60">B161</f>
        <v>0</v>
      </c>
      <c r="M161" s="37">
        <v>38</v>
      </c>
      <c r="N161" s="30">
        <f t="shared" si="53"/>
        <v>0</v>
      </c>
    </row>
    <row r="162" spans="1:14" x14ac:dyDescent="0.25">
      <c r="A162" s="41" t="s">
        <v>194</v>
      </c>
      <c r="B162" s="41"/>
      <c r="C162" s="41"/>
      <c r="D162" s="41">
        <v>10</v>
      </c>
      <c r="I162" s="37"/>
      <c r="J162" s="30"/>
      <c r="M162" s="37"/>
      <c r="N162" s="30">
        <f t="shared" si="53"/>
        <v>0</v>
      </c>
    </row>
    <row r="163" spans="1:14" x14ac:dyDescent="0.25">
      <c r="A163" s="52"/>
      <c r="C163" s="52"/>
      <c r="D163" s="52"/>
      <c r="I163" s="37"/>
      <c r="J163" s="30"/>
      <c r="M163" s="37"/>
      <c r="N163" s="30">
        <f t="shared" si="53"/>
        <v>0</v>
      </c>
    </row>
    <row r="164" spans="1:14" x14ac:dyDescent="0.25">
      <c r="A164" s="41" t="s">
        <v>228</v>
      </c>
      <c r="B164" s="41"/>
      <c r="C164" s="60"/>
      <c r="D164" s="60"/>
      <c r="E164" s="25" t="s">
        <v>229</v>
      </c>
      <c r="H164">
        <v>1</v>
      </c>
      <c r="I164" s="37">
        <f>B165</f>
        <v>0</v>
      </c>
      <c r="J164" s="30">
        <f t="shared" ref="J164" si="61">H164*I164</f>
        <v>0</v>
      </c>
      <c r="L164">
        <f>B164</f>
        <v>0</v>
      </c>
      <c r="M164" s="37">
        <v>5.04</v>
      </c>
      <c r="N164" s="30">
        <f t="shared" si="53"/>
        <v>0</v>
      </c>
    </row>
    <row r="165" spans="1:14" x14ac:dyDescent="0.25">
      <c r="A165" s="41" t="s">
        <v>194</v>
      </c>
      <c r="B165" s="41"/>
      <c r="C165" s="41"/>
      <c r="D165" s="60"/>
      <c r="E165" s="25" t="s">
        <v>230</v>
      </c>
      <c r="I165" s="37"/>
      <c r="J165" s="30"/>
      <c r="M165" s="37"/>
      <c r="N165" s="30"/>
    </row>
    <row r="166" spans="1:14" x14ac:dyDescent="0.25">
      <c r="A166" s="52"/>
      <c r="C166" s="52"/>
      <c r="D166" s="66"/>
      <c r="I166" s="37"/>
      <c r="J166" s="30"/>
      <c r="M166" s="37"/>
      <c r="N166" s="30"/>
    </row>
    <row r="167" spans="1:14" x14ac:dyDescent="0.25">
      <c r="A167" s="41" t="s">
        <v>203</v>
      </c>
      <c r="B167" s="55"/>
      <c r="C167" s="41"/>
      <c r="D167" s="41"/>
      <c r="I167" s="37">
        <f t="shared" ref="I167" si="62">(B168*(D168/100+1))</f>
        <v>0</v>
      </c>
      <c r="J167" s="30">
        <f>B167</f>
        <v>0</v>
      </c>
      <c r="M167" s="37"/>
      <c r="N167" s="30">
        <f t="shared" ref="N167" si="63">L167*M167</f>
        <v>0</v>
      </c>
    </row>
    <row r="168" spans="1:14" x14ac:dyDescent="0.25">
      <c r="I168" s="37"/>
      <c r="L168">
        <f t="shared" ref="L168" si="64">B168</f>
        <v>0</v>
      </c>
    </row>
    <row r="169" spans="1:14" x14ac:dyDescent="0.25">
      <c r="I169" s="37" t="s">
        <v>209</v>
      </c>
      <c r="J169" s="30">
        <f>SUM(J146:J167)</f>
        <v>0</v>
      </c>
      <c r="M169" t="s">
        <v>209</v>
      </c>
      <c r="N169" s="30">
        <f>SUM(N146:N168)</f>
        <v>0</v>
      </c>
    </row>
    <row r="170" spans="1:14" x14ac:dyDescent="0.25">
      <c r="A170" t="s">
        <v>153</v>
      </c>
      <c r="B170" s="30">
        <f>J169/((100-B171)/100)</f>
        <v>0</v>
      </c>
      <c r="I170" s="37"/>
    </row>
    <row r="171" spans="1:14" x14ac:dyDescent="0.25">
      <c r="A171" t="s">
        <v>169</v>
      </c>
      <c r="B171">
        <v>0</v>
      </c>
      <c r="I171" s="37"/>
    </row>
    <row r="172" spans="1:14" x14ac:dyDescent="0.25">
      <c r="I172" s="37"/>
    </row>
    <row r="173" spans="1:14" x14ac:dyDescent="0.25">
      <c r="A173" t="s">
        <v>210</v>
      </c>
      <c r="B173" s="30">
        <f>N169/((100-B174)/100)</f>
        <v>0</v>
      </c>
      <c r="I173" s="37"/>
    </row>
    <row r="174" spans="1:14" x14ac:dyDescent="0.25">
      <c r="A174" t="s">
        <v>154</v>
      </c>
      <c r="B174">
        <v>0</v>
      </c>
      <c r="I174" s="37"/>
    </row>
    <row r="175" spans="1:14" x14ac:dyDescent="0.25">
      <c r="B175" s="4"/>
      <c r="I175" s="68"/>
      <c r="J175" s="30"/>
      <c r="M175" s="68"/>
      <c r="N175" s="30"/>
    </row>
    <row r="176" spans="1:14" x14ac:dyDescent="0.25">
      <c r="B176" s="34"/>
      <c r="I176" s="68"/>
      <c r="J176" s="30"/>
      <c r="M176" s="68"/>
      <c r="N176" s="30"/>
    </row>
    <row r="177" spans="1:14" x14ac:dyDescent="0.25">
      <c r="A177" s="1" t="s">
        <v>111</v>
      </c>
      <c r="B177" s="1" t="s">
        <v>79</v>
      </c>
      <c r="I177" s="37"/>
    </row>
    <row r="178" spans="1:14" x14ac:dyDescent="0.25">
      <c r="A178" s="1" t="s">
        <v>222</v>
      </c>
      <c r="B178" t="s">
        <v>224</v>
      </c>
      <c r="I178" s="37"/>
    </row>
    <row r="179" spans="1:14" x14ac:dyDescent="0.25">
      <c r="H179" s="1" t="s">
        <v>114</v>
      </c>
      <c r="I179" s="37"/>
      <c r="L179" s="1" t="s">
        <v>76</v>
      </c>
    </row>
    <row r="180" spans="1:14" x14ac:dyDescent="0.25">
      <c r="B180" s="1" t="s">
        <v>196</v>
      </c>
      <c r="C180" s="1" t="s">
        <v>125</v>
      </c>
      <c r="D180" s="1" t="s">
        <v>221</v>
      </c>
      <c r="H180" t="s">
        <v>198</v>
      </c>
      <c r="I180" s="37" t="s">
        <v>126</v>
      </c>
      <c r="J180" t="s">
        <v>155</v>
      </c>
      <c r="L180" t="s">
        <v>198</v>
      </c>
      <c r="M180" t="s">
        <v>126</v>
      </c>
      <c r="N180" t="s">
        <v>155</v>
      </c>
    </row>
    <row r="181" spans="1:14" x14ac:dyDescent="0.25">
      <c r="A181" s="41" t="s">
        <v>193</v>
      </c>
      <c r="B181" s="53"/>
      <c r="C181" s="60"/>
      <c r="D181" s="60"/>
      <c r="E181" s="25" t="s">
        <v>216</v>
      </c>
      <c r="H181">
        <f>B181</f>
        <v>0</v>
      </c>
      <c r="I181" s="37">
        <f>(B182*(D182/100+1))+1</f>
        <v>1</v>
      </c>
      <c r="J181" s="30">
        <f>H181*I181</f>
        <v>0</v>
      </c>
      <c r="L181">
        <f>B181</f>
        <v>0</v>
      </c>
      <c r="M181" s="37">
        <v>4.8</v>
      </c>
      <c r="N181" s="30">
        <f>L181*M181</f>
        <v>0</v>
      </c>
    </row>
    <row r="182" spans="1:14" x14ac:dyDescent="0.25">
      <c r="A182" s="41" t="s">
        <v>197</v>
      </c>
      <c r="B182" s="54"/>
      <c r="C182" s="41"/>
      <c r="D182" s="41">
        <v>10</v>
      </c>
      <c r="I182" s="37"/>
      <c r="J182" s="30">
        <f t="shared" ref="J182" si="65">H182*I182</f>
        <v>0</v>
      </c>
      <c r="M182" s="37"/>
      <c r="N182" s="30">
        <f t="shared" ref="N182:N199" si="66">L182*M182</f>
        <v>0</v>
      </c>
    </row>
    <row r="183" spans="1:14" x14ac:dyDescent="0.25">
      <c r="A183" s="52"/>
      <c r="B183" s="4"/>
      <c r="C183" s="52"/>
      <c r="D183" s="60"/>
      <c r="I183" s="37"/>
      <c r="J183" s="30"/>
      <c r="M183" s="37"/>
      <c r="N183" s="30">
        <f t="shared" si="66"/>
        <v>0</v>
      </c>
    </row>
    <row r="184" spans="1:14" x14ac:dyDescent="0.25">
      <c r="A184" s="41" t="s">
        <v>215</v>
      </c>
      <c r="B184" s="53"/>
      <c r="C184" s="60"/>
      <c r="D184" s="60"/>
      <c r="E184" s="25" t="s">
        <v>216</v>
      </c>
      <c r="H184">
        <f t="shared" ref="H184" si="67">B184</f>
        <v>0</v>
      </c>
      <c r="I184" s="37">
        <f>(B185*(D185/100+1))+1.5</f>
        <v>1.5</v>
      </c>
      <c r="J184" s="30">
        <f t="shared" ref="J184" si="68">H184*I184</f>
        <v>0</v>
      </c>
      <c r="L184">
        <f>B184</f>
        <v>0</v>
      </c>
      <c r="M184" s="37">
        <v>6.4</v>
      </c>
      <c r="N184" s="30">
        <f t="shared" si="66"/>
        <v>0</v>
      </c>
    </row>
    <row r="185" spans="1:14" x14ac:dyDescent="0.25">
      <c r="A185" s="41" t="s">
        <v>197</v>
      </c>
      <c r="B185" s="54"/>
      <c r="C185" s="41"/>
      <c r="D185" s="41">
        <v>10</v>
      </c>
      <c r="I185" s="37"/>
      <c r="J185" s="30"/>
      <c r="M185" s="37"/>
      <c r="N185" s="30">
        <f t="shared" si="66"/>
        <v>0</v>
      </c>
    </row>
    <row r="186" spans="1:14" x14ac:dyDescent="0.25">
      <c r="A186" s="52"/>
      <c r="B186" s="4"/>
      <c r="C186" s="52"/>
      <c r="D186" s="60"/>
      <c r="I186" s="37"/>
      <c r="J186" s="30"/>
      <c r="M186" s="37"/>
      <c r="N186" s="30">
        <f t="shared" si="66"/>
        <v>0</v>
      </c>
    </row>
    <row r="187" spans="1:14" x14ac:dyDescent="0.25">
      <c r="A187" s="41" t="s">
        <v>217</v>
      </c>
      <c r="B187" s="53"/>
      <c r="C187" s="60"/>
      <c r="D187" s="60"/>
      <c r="H187">
        <f>B187</f>
        <v>0</v>
      </c>
      <c r="I187" s="37">
        <f>(B188*(D188/100+1))</f>
        <v>0</v>
      </c>
      <c r="J187" s="30">
        <f t="shared" ref="J187" si="69">H187*I187</f>
        <v>0</v>
      </c>
      <c r="L187">
        <f>B187</f>
        <v>0</v>
      </c>
      <c r="M187" s="37">
        <v>10.8</v>
      </c>
      <c r="N187" s="30">
        <f t="shared" si="66"/>
        <v>0</v>
      </c>
    </row>
    <row r="188" spans="1:14" x14ac:dyDescent="0.25">
      <c r="A188" s="41" t="s">
        <v>197</v>
      </c>
      <c r="B188" s="54"/>
      <c r="C188" s="41"/>
      <c r="D188" s="41">
        <v>10</v>
      </c>
      <c r="I188" s="37"/>
      <c r="J188" s="30"/>
      <c r="M188" s="37"/>
      <c r="N188" s="30">
        <f t="shared" si="66"/>
        <v>0</v>
      </c>
    </row>
    <row r="189" spans="1:14" x14ac:dyDescent="0.25">
      <c r="A189" s="52"/>
      <c r="B189" s="4"/>
      <c r="C189" s="52"/>
      <c r="D189" s="60"/>
      <c r="I189" s="37"/>
      <c r="J189" s="30"/>
      <c r="M189" s="37"/>
      <c r="N189" s="30">
        <f t="shared" si="66"/>
        <v>0</v>
      </c>
    </row>
    <row r="190" spans="1:14" x14ac:dyDescent="0.25">
      <c r="A190" s="41" t="s">
        <v>218</v>
      </c>
      <c r="B190" s="53"/>
      <c r="C190" s="60"/>
      <c r="D190" s="60"/>
      <c r="H190">
        <f t="shared" ref="H190" si="70">B190</f>
        <v>0</v>
      </c>
      <c r="I190" s="37">
        <f>(B191*(D191/100+1))</f>
        <v>0</v>
      </c>
      <c r="J190" s="30">
        <f t="shared" ref="J190" si="71">H190*I190</f>
        <v>0</v>
      </c>
      <c r="L190">
        <f>B190</f>
        <v>0</v>
      </c>
      <c r="M190" s="37">
        <v>16</v>
      </c>
      <c r="N190" s="30">
        <f t="shared" si="66"/>
        <v>0</v>
      </c>
    </row>
    <row r="191" spans="1:14" x14ac:dyDescent="0.25">
      <c r="A191" s="41" t="s">
        <v>194</v>
      </c>
      <c r="B191" s="54"/>
      <c r="C191" s="51"/>
      <c r="D191" s="41">
        <v>10</v>
      </c>
      <c r="I191" s="37"/>
      <c r="J191" s="30"/>
      <c r="M191" s="37"/>
      <c r="N191" s="30">
        <f t="shared" si="66"/>
        <v>0</v>
      </c>
    </row>
    <row r="192" spans="1:14" x14ac:dyDescent="0.25">
      <c r="A192" s="52"/>
      <c r="B192" s="4"/>
      <c r="C192" s="52"/>
      <c r="D192" s="60"/>
      <c r="I192" s="37"/>
      <c r="M192" s="37"/>
      <c r="N192" s="30">
        <f t="shared" si="66"/>
        <v>0</v>
      </c>
    </row>
    <row r="193" spans="1:14" x14ac:dyDescent="0.25">
      <c r="A193" s="41" t="s">
        <v>219</v>
      </c>
      <c r="B193" s="53"/>
      <c r="C193" s="60"/>
      <c r="D193" s="60"/>
      <c r="H193">
        <f>B193</f>
        <v>0</v>
      </c>
      <c r="I193" s="37">
        <f>(B194*(D194/100+1))</f>
        <v>0</v>
      </c>
      <c r="J193" s="30">
        <f>H193*I193*1.1</f>
        <v>0</v>
      </c>
      <c r="L193">
        <f t="shared" ref="L193" si="72">B193</f>
        <v>0</v>
      </c>
      <c r="M193" s="37">
        <v>1.5</v>
      </c>
      <c r="N193" s="30">
        <f t="shared" si="66"/>
        <v>0</v>
      </c>
    </row>
    <row r="194" spans="1:14" x14ac:dyDescent="0.25">
      <c r="A194" s="41" t="s">
        <v>220</v>
      </c>
      <c r="B194" s="54"/>
      <c r="C194" s="41"/>
      <c r="D194" s="41">
        <v>10</v>
      </c>
      <c r="I194" s="37"/>
      <c r="J194" s="30"/>
      <c r="M194" s="37"/>
      <c r="N194" s="30">
        <f t="shared" si="66"/>
        <v>0</v>
      </c>
    </row>
    <row r="195" spans="1:14" x14ac:dyDescent="0.25">
      <c r="A195" s="52"/>
      <c r="C195" s="52"/>
      <c r="D195" s="65"/>
      <c r="I195" s="37"/>
      <c r="J195" s="30"/>
      <c r="M195" s="37"/>
      <c r="N195" s="30">
        <f t="shared" si="66"/>
        <v>0</v>
      </c>
    </row>
    <row r="196" spans="1:14" x14ac:dyDescent="0.25">
      <c r="A196" s="41" t="s">
        <v>223</v>
      </c>
      <c r="B196" s="41"/>
      <c r="C196" s="60"/>
      <c r="D196" s="60"/>
      <c r="H196">
        <f>B196</f>
        <v>0</v>
      </c>
      <c r="I196" s="37">
        <f>(B197*(D197/100+1))+3</f>
        <v>3</v>
      </c>
      <c r="J196" s="30">
        <f>H196*I196</f>
        <v>0</v>
      </c>
      <c r="L196">
        <f t="shared" ref="L196" si="73">B196</f>
        <v>0</v>
      </c>
      <c r="M196" s="37">
        <v>38</v>
      </c>
      <c r="N196" s="30">
        <f t="shared" si="66"/>
        <v>0</v>
      </c>
    </row>
    <row r="197" spans="1:14" x14ac:dyDescent="0.25">
      <c r="A197" s="41" t="s">
        <v>194</v>
      </c>
      <c r="B197" s="41"/>
      <c r="C197" s="41"/>
      <c r="D197" s="41">
        <v>10</v>
      </c>
      <c r="I197" s="37"/>
      <c r="J197" s="30"/>
      <c r="M197" s="37"/>
      <c r="N197" s="30">
        <f t="shared" si="66"/>
        <v>0</v>
      </c>
    </row>
    <row r="198" spans="1:14" x14ac:dyDescent="0.25">
      <c r="A198" s="52"/>
      <c r="C198" s="52"/>
      <c r="D198" s="52"/>
      <c r="I198" s="37"/>
      <c r="J198" s="30"/>
      <c r="M198" s="37"/>
      <c r="N198" s="30">
        <f t="shared" si="66"/>
        <v>0</v>
      </c>
    </row>
    <row r="199" spans="1:14" x14ac:dyDescent="0.25">
      <c r="A199" s="41" t="s">
        <v>228</v>
      </c>
      <c r="B199" s="41"/>
      <c r="C199" s="60"/>
      <c r="D199" s="60"/>
      <c r="E199" s="25" t="s">
        <v>229</v>
      </c>
      <c r="H199">
        <v>1</v>
      </c>
      <c r="I199" s="37">
        <f>B200</f>
        <v>0</v>
      </c>
      <c r="J199" s="30">
        <f t="shared" ref="J199" si="74">H199*I199</f>
        <v>0</v>
      </c>
      <c r="L199">
        <f>B199</f>
        <v>0</v>
      </c>
      <c r="M199" s="37">
        <v>5.04</v>
      </c>
      <c r="N199" s="30">
        <f t="shared" si="66"/>
        <v>0</v>
      </c>
    </row>
    <row r="200" spans="1:14" x14ac:dyDescent="0.25">
      <c r="A200" s="41" t="s">
        <v>194</v>
      </c>
      <c r="B200" s="41"/>
      <c r="C200" s="41"/>
      <c r="D200" s="60"/>
      <c r="E200" s="25" t="s">
        <v>230</v>
      </c>
      <c r="I200" s="37"/>
      <c r="J200" s="30"/>
      <c r="M200" s="37"/>
      <c r="N200" s="30"/>
    </row>
    <row r="201" spans="1:14" x14ac:dyDescent="0.25">
      <c r="A201" s="52"/>
      <c r="C201" s="52"/>
      <c r="D201" s="66"/>
      <c r="I201" s="37"/>
      <c r="J201" s="30"/>
      <c r="M201" s="37"/>
      <c r="N201" s="30"/>
    </row>
    <row r="202" spans="1:14" x14ac:dyDescent="0.25">
      <c r="A202" s="41" t="s">
        <v>203</v>
      </c>
      <c r="B202" s="55"/>
      <c r="C202" s="41"/>
      <c r="D202" s="41"/>
      <c r="I202" s="37">
        <f t="shared" ref="I202" si="75">(B203*(D203/100+1))</f>
        <v>0</v>
      </c>
      <c r="J202" s="30">
        <f>B202</f>
        <v>0</v>
      </c>
      <c r="M202" s="37"/>
      <c r="N202" s="30">
        <f t="shared" ref="N202" si="76">L202*M202</f>
        <v>0</v>
      </c>
    </row>
    <row r="203" spans="1:14" x14ac:dyDescent="0.25">
      <c r="I203" s="37"/>
      <c r="L203">
        <f t="shared" ref="L203" si="77">B203</f>
        <v>0</v>
      </c>
    </row>
    <row r="204" spans="1:14" x14ac:dyDescent="0.25">
      <c r="I204" s="37" t="s">
        <v>209</v>
      </c>
      <c r="J204" s="30">
        <f>SUM(J181:J202)</f>
        <v>0</v>
      </c>
      <c r="M204" t="s">
        <v>209</v>
      </c>
      <c r="N204" s="30">
        <f>SUM(N181:N203)</f>
        <v>0</v>
      </c>
    </row>
    <row r="205" spans="1:14" x14ac:dyDescent="0.25">
      <c r="A205" t="s">
        <v>153</v>
      </c>
      <c r="B205" s="30">
        <f>J204/((100-B206)/100)</f>
        <v>0</v>
      </c>
      <c r="I205" s="37"/>
    </row>
    <row r="206" spans="1:14" x14ac:dyDescent="0.25">
      <c r="A206" t="s">
        <v>169</v>
      </c>
      <c r="B206">
        <v>0</v>
      </c>
      <c r="I206" s="37"/>
    </row>
    <row r="207" spans="1:14" x14ac:dyDescent="0.25">
      <c r="I207" s="37"/>
    </row>
    <row r="208" spans="1:14" x14ac:dyDescent="0.25">
      <c r="A208" t="s">
        <v>210</v>
      </c>
      <c r="B208" s="30">
        <f>N204/((100-B209)/100)</f>
        <v>0</v>
      </c>
      <c r="I208" s="37"/>
    </row>
    <row r="209" spans="1:14" x14ac:dyDescent="0.25">
      <c r="A209" t="s">
        <v>154</v>
      </c>
      <c r="B209">
        <v>0</v>
      </c>
      <c r="I209" s="37"/>
    </row>
    <row r="210" spans="1:14" x14ac:dyDescent="0.25">
      <c r="I210" s="68"/>
      <c r="J210" s="30"/>
      <c r="M210" s="68"/>
      <c r="N210" s="30"/>
    </row>
    <row r="211" spans="1:14" x14ac:dyDescent="0.25">
      <c r="I211" s="68"/>
      <c r="J211" s="30"/>
      <c r="M211" s="68"/>
      <c r="N211" s="30"/>
    </row>
    <row r="212" spans="1:14" x14ac:dyDescent="0.25">
      <c r="A212" s="1" t="s">
        <v>112</v>
      </c>
      <c r="B212" s="1" t="s">
        <v>79</v>
      </c>
      <c r="I212" s="37"/>
    </row>
    <row r="213" spans="1:14" x14ac:dyDescent="0.25">
      <c r="A213" s="1" t="s">
        <v>222</v>
      </c>
      <c r="B213" t="s">
        <v>224</v>
      </c>
      <c r="I213" s="37"/>
    </row>
    <row r="214" spans="1:14" x14ac:dyDescent="0.25">
      <c r="H214" s="1" t="s">
        <v>114</v>
      </c>
      <c r="I214" s="37"/>
      <c r="L214" s="1" t="s">
        <v>76</v>
      </c>
    </row>
    <row r="215" spans="1:14" x14ac:dyDescent="0.25">
      <c r="B215" s="1" t="s">
        <v>196</v>
      </c>
      <c r="C215" s="1" t="s">
        <v>125</v>
      </c>
      <c r="D215" s="1" t="s">
        <v>221</v>
      </c>
      <c r="H215" t="s">
        <v>198</v>
      </c>
      <c r="I215" s="37" t="s">
        <v>126</v>
      </c>
      <c r="J215" t="s">
        <v>155</v>
      </c>
      <c r="L215" t="s">
        <v>198</v>
      </c>
      <c r="M215" t="s">
        <v>126</v>
      </c>
      <c r="N215" t="s">
        <v>155</v>
      </c>
    </row>
    <row r="216" spans="1:14" x14ac:dyDescent="0.25">
      <c r="A216" s="41" t="s">
        <v>193</v>
      </c>
      <c r="B216" s="53"/>
      <c r="C216" s="60"/>
      <c r="D216" s="60"/>
      <c r="E216" s="25" t="s">
        <v>216</v>
      </c>
      <c r="H216">
        <f>B216</f>
        <v>0</v>
      </c>
      <c r="I216" s="37">
        <f>(B217*(D217/100+1))+1</f>
        <v>1</v>
      </c>
      <c r="J216" s="30">
        <f>H216*I216</f>
        <v>0</v>
      </c>
      <c r="L216">
        <f>B216</f>
        <v>0</v>
      </c>
      <c r="M216" s="37">
        <v>4.8</v>
      </c>
      <c r="N216" s="30">
        <f>L216*M216</f>
        <v>0</v>
      </c>
    </row>
    <row r="217" spans="1:14" x14ac:dyDescent="0.25">
      <c r="A217" s="41" t="s">
        <v>197</v>
      </c>
      <c r="B217" s="54"/>
      <c r="C217" s="41"/>
      <c r="D217" s="41">
        <v>10</v>
      </c>
      <c r="I217" s="37"/>
      <c r="J217" s="30">
        <f t="shared" ref="J217" si="78">H217*I217</f>
        <v>0</v>
      </c>
      <c r="M217" s="37"/>
      <c r="N217" s="30">
        <f t="shared" ref="N217:N234" si="79">L217*M217</f>
        <v>0</v>
      </c>
    </row>
    <row r="218" spans="1:14" x14ac:dyDescent="0.25">
      <c r="A218" s="52"/>
      <c r="B218" s="4"/>
      <c r="C218" s="52"/>
      <c r="D218" s="60"/>
      <c r="I218" s="37"/>
      <c r="J218" s="30"/>
      <c r="M218" s="37"/>
      <c r="N218" s="30">
        <f t="shared" si="79"/>
        <v>0</v>
      </c>
    </row>
    <row r="219" spans="1:14" x14ac:dyDescent="0.25">
      <c r="A219" s="41" t="s">
        <v>215</v>
      </c>
      <c r="B219" s="53"/>
      <c r="C219" s="60"/>
      <c r="D219" s="60"/>
      <c r="E219" s="25" t="s">
        <v>216</v>
      </c>
      <c r="H219">
        <f t="shared" ref="H219" si="80">B219</f>
        <v>0</v>
      </c>
      <c r="I219" s="37">
        <f>(B220*(D220/100+1))+1.5</f>
        <v>1.5</v>
      </c>
      <c r="J219" s="30">
        <f t="shared" ref="J219" si="81">H219*I219</f>
        <v>0</v>
      </c>
      <c r="L219">
        <f>B219</f>
        <v>0</v>
      </c>
      <c r="M219" s="37">
        <v>6.4</v>
      </c>
      <c r="N219" s="30">
        <f t="shared" si="79"/>
        <v>0</v>
      </c>
    </row>
    <row r="220" spans="1:14" x14ac:dyDescent="0.25">
      <c r="A220" s="41" t="s">
        <v>197</v>
      </c>
      <c r="B220" s="54"/>
      <c r="C220" s="41"/>
      <c r="D220" s="41">
        <v>10</v>
      </c>
      <c r="I220" s="37"/>
      <c r="J220" s="30"/>
      <c r="M220" s="37"/>
      <c r="N220" s="30">
        <f t="shared" si="79"/>
        <v>0</v>
      </c>
    </row>
    <row r="221" spans="1:14" x14ac:dyDescent="0.25">
      <c r="A221" s="52"/>
      <c r="B221" s="4"/>
      <c r="C221" s="52"/>
      <c r="D221" s="60"/>
      <c r="I221" s="37"/>
      <c r="J221" s="30"/>
      <c r="M221" s="37"/>
      <c r="N221" s="30">
        <f t="shared" si="79"/>
        <v>0</v>
      </c>
    </row>
    <row r="222" spans="1:14" x14ac:dyDescent="0.25">
      <c r="A222" s="41" t="s">
        <v>217</v>
      </c>
      <c r="B222" s="53"/>
      <c r="C222" s="60"/>
      <c r="D222" s="60"/>
      <c r="H222">
        <f>B222</f>
        <v>0</v>
      </c>
      <c r="I222" s="37">
        <f>(B223*(D223/100+1))</f>
        <v>0</v>
      </c>
      <c r="J222" s="30">
        <f t="shared" ref="J222" si="82">H222*I222</f>
        <v>0</v>
      </c>
      <c r="L222">
        <f>B222</f>
        <v>0</v>
      </c>
      <c r="M222" s="37">
        <v>10.8</v>
      </c>
      <c r="N222" s="30">
        <f t="shared" si="79"/>
        <v>0</v>
      </c>
    </row>
    <row r="223" spans="1:14" x14ac:dyDescent="0.25">
      <c r="A223" s="41" t="s">
        <v>197</v>
      </c>
      <c r="B223" s="54"/>
      <c r="C223" s="41"/>
      <c r="D223" s="41">
        <v>10</v>
      </c>
      <c r="I223" s="37"/>
      <c r="J223" s="30"/>
      <c r="M223" s="37"/>
      <c r="N223" s="30">
        <f t="shared" si="79"/>
        <v>0</v>
      </c>
    </row>
    <row r="224" spans="1:14" x14ac:dyDescent="0.25">
      <c r="A224" s="52"/>
      <c r="B224" s="4"/>
      <c r="C224" s="52"/>
      <c r="D224" s="60"/>
      <c r="I224" s="37"/>
      <c r="J224" s="30"/>
      <c r="M224" s="37"/>
      <c r="N224" s="30">
        <f t="shared" si="79"/>
        <v>0</v>
      </c>
    </row>
    <row r="225" spans="1:14" x14ac:dyDescent="0.25">
      <c r="A225" s="41" t="s">
        <v>218</v>
      </c>
      <c r="B225" s="53"/>
      <c r="C225" s="60"/>
      <c r="D225" s="60"/>
      <c r="H225">
        <f t="shared" ref="H225" si="83">B225</f>
        <v>0</v>
      </c>
      <c r="I225" s="37">
        <f>(B226*(D226/100+1))</f>
        <v>0</v>
      </c>
      <c r="J225" s="30">
        <f t="shared" ref="J225" si="84">H225*I225</f>
        <v>0</v>
      </c>
      <c r="L225">
        <f>B225</f>
        <v>0</v>
      </c>
      <c r="M225" s="37">
        <v>16</v>
      </c>
      <c r="N225" s="30">
        <f t="shared" si="79"/>
        <v>0</v>
      </c>
    </row>
    <row r="226" spans="1:14" x14ac:dyDescent="0.25">
      <c r="A226" s="41" t="s">
        <v>194</v>
      </c>
      <c r="B226" s="54"/>
      <c r="C226" s="51"/>
      <c r="D226" s="41">
        <v>10</v>
      </c>
      <c r="I226" s="37"/>
      <c r="J226" s="30"/>
      <c r="M226" s="37"/>
      <c r="N226" s="30">
        <f t="shared" si="79"/>
        <v>0</v>
      </c>
    </row>
    <row r="227" spans="1:14" x14ac:dyDescent="0.25">
      <c r="A227" s="52"/>
      <c r="B227" s="4"/>
      <c r="C227" s="52"/>
      <c r="D227" s="60"/>
      <c r="I227" s="37"/>
      <c r="M227" s="37"/>
      <c r="N227" s="30">
        <f t="shared" si="79"/>
        <v>0</v>
      </c>
    </row>
    <row r="228" spans="1:14" x14ac:dyDescent="0.25">
      <c r="A228" s="41" t="s">
        <v>219</v>
      </c>
      <c r="B228" s="53"/>
      <c r="C228" s="60"/>
      <c r="D228" s="60"/>
      <c r="H228">
        <f>B228</f>
        <v>0</v>
      </c>
      <c r="I228" s="37">
        <f>(B229*(D229/100+1))</f>
        <v>0</v>
      </c>
      <c r="J228" s="30">
        <f>H228*I228*1.1</f>
        <v>0</v>
      </c>
      <c r="L228">
        <f t="shared" ref="L228" si="85">B228</f>
        <v>0</v>
      </c>
      <c r="M228" s="37">
        <v>1.5</v>
      </c>
      <c r="N228" s="30">
        <f t="shared" si="79"/>
        <v>0</v>
      </c>
    </row>
    <row r="229" spans="1:14" x14ac:dyDescent="0.25">
      <c r="A229" s="41" t="s">
        <v>220</v>
      </c>
      <c r="B229" s="54"/>
      <c r="C229" s="41"/>
      <c r="D229" s="41">
        <v>10</v>
      </c>
      <c r="I229" s="37"/>
      <c r="J229" s="30"/>
      <c r="M229" s="37"/>
      <c r="N229" s="30">
        <f t="shared" si="79"/>
        <v>0</v>
      </c>
    </row>
    <row r="230" spans="1:14" x14ac:dyDescent="0.25">
      <c r="A230" s="52"/>
      <c r="C230" s="52"/>
      <c r="D230" s="65"/>
      <c r="I230" s="37"/>
      <c r="J230" s="30"/>
      <c r="M230" s="37"/>
      <c r="N230" s="30">
        <f t="shared" si="79"/>
        <v>0</v>
      </c>
    </row>
    <row r="231" spans="1:14" x14ac:dyDescent="0.25">
      <c r="A231" s="41" t="s">
        <v>223</v>
      </c>
      <c r="B231" s="41"/>
      <c r="C231" s="60"/>
      <c r="D231" s="60"/>
      <c r="H231">
        <f>B231</f>
        <v>0</v>
      </c>
      <c r="I231" s="37">
        <f>(B232*(D232/100+1))+3</f>
        <v>3</v>
      </c>
      <c r="J231" s="30">
        <f>H231*I231</f>
        <v>0</v>
      </c>
      <c r="L231">
        <f t="shared" ref="L231" si="86">B231</f>
        <v>0</v>
      </c>
      <c r="M231" s="37">
        <v>38</v>
      </c>
      <c r="N231" s="30">
        <f t="shared" si="79"/>
        <v>0</v>
      </c>
    </row>
    <row r="232" spans="1:14" x14ac:dyDescent="0.25">
      <c r="A232" s="41" t="s">
        <v>194</v>
      </c>
      <c r="B232" s="41"/>
      <c r="C232" s="41"/>
      <c r="D232" s="41">
        <v>10</v>
      </c>
      <c r="I232" s="37"/>
      <c r="J232" s="30"/>
      <c r="M232" s="37"/>
      <c r="N232" s="30">
        <f t="shared" si="79"/>
        <v>0</v>
      </c>
    </row>
    <row r="233" spans="1:14" x14ac:dyDescent="0.25">
      <c r="A233" s="52"/>
      <c r="C233" s="52"/>
      <c r="D233" s="52"/>
      <c r="I233" s="37"/>
      <c r="J233" s="30"/>
      <c r="M233" s="37"/>
      <c r="N233" s="30">
        <f t="shared" si="79"/>
        <v>0</v>
      </c>
    </row>
    <row r="234" spans="1:14" x14ac:dyDescent="0.25">
      <c r="A234" s="41" t="s">
        <v>228</v>
      </c>
      <c r="B234" s="41"/>
      <c r="C234" s="60"/>
      <c r="D234" s="60"/>
      <c r="E234" s="25" t="s">
        <v>229</v>
      </c>
      <c r="H234">
        <v>1</v>
      </c>
      <c r="I234" s="37">
        <f>B235</f>
        <v>0</v>
      </c>
      <c r="J234" s="30">
        <f t="shared" ref="J234" si="87">H234*I234</f>
        <v>0</v>
      </c>
      <c r="L234">
        <f>B234</f>
        <v>0</v>
      </c>
      <c r="M234" s="37">
        <v>5.04</v>
      </c>
      <c r="N234" s="30">
        <f t="shared" si="79"/>
        <v>0</v>
      </c>
    </row>
    <row r="235" spans="1:14" x14ac:dyDescent="0.25">
      <c r="A235" s="41" t="s">
        <v>194</v>
      </c>
      <c r="B235" s="41"/>
      <c r="C235" s="41"/>
      <c r="D235" s="60"/>
      <c r="E235" s="25" t="s">
        <v>230</v>
      </c>
      <c r="I235" s="37"/>
      <c r="J235" s="30"/>
      <c r="M235" s="37"/>
      <c r="N235" s="30"/>
    </row>
    <row r="236" spans="1:14" x14ac:dyDescent="0.25">
      <c r="A236" s="52"/>
      <c r="C236" s="52"/>
      <c r="D236" s="66"/>
      <c r="I236" s="37"/>
      <c r="J236" s="30"/>
      <c r="M236" s="37"/>
      <c r="N236" s="30"/>
    </row>
    <row r="237" spans="1:14" x14ac:dyDescent="0.25">
      <c r="A237" s="41" t="s">
        <v>203</v>
      </c>
      <c r="B237" s="55"/>
      <c r="C237" s="41"/>
      <c r="D237" s="41"/>
      <c r="I237" s="37">
        <f t="shared" ref="I237" si="88">(B238*(D238/100+1))</f>
        <v>0</v>
      </c>
      <c r="J237" s="30">
        <f>B237</f>
        <v>0</v>
      </c>
      <c r="M237" s="37"/>
      <c r="N237" s="30">
        <f t="shared" ref="N237" si="89">L237*M237</f>
        <v>0</v>
      </c>
    </row>
    <row r="238" spans="1:14" x14ac:dyDescent="0.25">
      <c r="I238" s="37"/>
      <c r="L238">
        <f t="shared" ref="L238" si="90">B238</f>
        <v>0</v>
      </c>
    </row>
    <row r="239" spans="1:14" x14ac:dyDescent="0.25">
      <c r="I239" s="37" t="s">
        <v>209</v>
      </c>
      <c r="J239" s="30">
        <f>SUM(J216:J237)</f>
        <v>0</v>
      </c>
      <c r="M239" t="s">
        <v>209</v>
      </c>
      <c r="N239" s="30">
        <f>SUM(N216:N238)</f>
        <v>0</v>
      </c>
    </row>
    <row r="240" spans="1:14" x14ac:dyDescent="0.25">
      <c r="A240" t="s">
        <v>153</v>
      </c>
      <c r="B240" s="30">
        <f>J239/((100-B241)/100)</f>
        <v>0</v>
      </c>
      <c r="I240" s="37"/>
    </row>
    <row r="241" spans="1:14" x14ac:dyDescent="0.25">
      <c r="A241" t="s">
        <v>169</v>
      </c>
      <c r="B241">
        <v>0</v>
      </c>
      <c r="I241" s="37"/>
    </row>
    <row r="242" spans="1:14" x14ac:dyDescent="0.25">
      <c r="I242" s="37"/>
    </row>
    <row r="243" spans="1:14" x14ac:dyDescent="0.25">
      <c r="A243" t="s">
        <v>210</v>
      </c>
      <c r="B243" s="30">
        <f>N239/((100-B244)/100)</f>
        <v>0</v>
      </c>
      <c r="I243" s="37"/>
    </row>
    <row r="244" spans="1:14" x14ac:dyDescent="0.25">
      <c r="A244" t="s">
        <v>154</v>
      </c>
      <c r="B244">
        <v>0</v>
      </c>
      <c r="I244" s="37"/>
    </row>
    <row r="245" spans="1:14" x14ac:dyDescent="0.25">
      <c r="I245" s="68"/>
      <c r="J245" s="30"/>
      <c r="M245" s="68"/>
      <c r="N245" s="30"/>
    </row>
    <row r="246" spans="1:14" x14ac:dyDescent="0.25">
      <c r="B246" s="68"/>
      <c r="I246" s="68"/>
      <c r="J246" s="30"/>
      <c r="M246" s="68"/>
      <c r="N246" s="30"/>
    </row>
    <row r="247" spans="1:14" x14ac:dyDescent="0.25">
      <c r="A247" s="1" t="s">
        <v>113</v>
      </c>
      <c r="B247" s="1" t="s">
        <v>79</v>
      </c>
      <c r="I247" s="37"/>
    </row>
    <row r="248" spans="1:14" x14ac:dyDescent="0.25">
      <c r="A248" s="1" t="s">
        <v>222</v>
      </c>
      <c r="B248" t="s">
        <v>224</v>
      </c>
      <c r="I248" s="37"/>
    </row>
    <row r="249" spans="1:14" x14ac:dyDescent="0.25">
      <c r="H249" s="1" t="s">
        <v>114</v>
      </c>
      <c r="I249" s="37"/>
      <c r="L249" s="1" t="s">
        <v>76</v>
      </c>
    </row>
    <row r="250" spans="1:14" x14ac:dyDescent="0.25">
      <c r="B250" s="1" t="s">
        <v>196</v>
      </c>
      <c r="C250" s="1" t="s">
        <v>125</v>
      </c>
      <c r="D250" s="1" t="s">
        <v>221</v>
      </c>
      <c r="H250" t="s">
        <v>198</v>
      </c>
      <c r="I250" s="37" t="s">
        <v>126</v>
      </c>
      <c r="J250" t="s">
        <v>155</v>
      </c>
      <c r="L250" t="s">
        <v>198</v>
      </c>
      <c r="M250" t="s">
        <v>126</v>
      </c>
      <c r="N250" t="s">
        <v>155</v>
      </c>
    </row>
    <row r="251" spans="1:14" x14ac:dyDescent="0.25">
      <c r="A251" s="41" t="s">
        <v>193</v>
      </c>
      <c r="B251" s="53"/>
      <c r="C251" s="60"/>
      <c r="D251" s="60"/>
      <c r="E251" s="25" t="s">
        <v>216</v>
      </c>
      <c r="H251">
        <f>B251</f>
        <v>0</v>
      </c>
      <c r="I251" s="37">
        <f>(B252*(D252/100+1))+1</f>
        <v>1</v>
      </c>
      <c r="J251" s="30">
        <f>H251*I251</f>
        <v>0</v>
      </c>
      <c r="L251">
        <f>B251</f>
        <v>0</v>
      </c>
      <c r="M251" s="37">
        <v>4.8</v>
      </c>
      <c r="N251" s="30">
        <f>L251*M251</f>
        <v>0</v>
      </c>
    </row>
    <row r="252" spans="1:14" x14ac:dyDescent="0.25">
      <c r="A252" s="41" t="s">
        <v>197</v>
      </c>
      <c r="B252" s="54"/>
      <c r="C252" s="41"/>
      <c r="D252" s="41">
        <v>10</v>
      </c>
      <c r="I252" s="37"/>
      <c r="J252" s="30">
        <f t="shared" ref="J252" si="91">H252*I252</f>
        <v>0</v>
      </c>
      <c r="M252" s="37"/>
      <c r="N252" s="30">
        <f t="shared" ref="N252:N269" si="92">L252*M252</f>
        <v>0</v>
      </c>
    </row>
    <row r="253" spans="1:14" x14ac:dyDescent="0.25">
      <c r="A253" s="52"/>
      <c r="B253" s="4"/>
      <c r="C253" s="52"/>
      <c r="D253" s="60"/>
      <c r="I253" s="37"/>
      <c r="J253" s="30"/>
      <c r="M253" s="37"/>
      <c r="N253" s="30">
        <f t="shared" si="92"/>
        <v>0</v>
      </c>
    </row>
    <row r="254" spans="1:14" x14ac:dyDescent="0.25">
      <c r="A254" s="41" t="s">
        <v>215</v>
      </c>
      <c r="B254" s="53"/>
      <c r="C254" s="60"/>
      <c r="D254" s="60"/>
      <c r="E254" s="25" t="s">
        <v>216</v>
      </c>
      <c r="H254">
        <f t="shared" ref="H254" si="93">B254</f>
        <v>0</v>
      </c>
      <c r="I254" s="37">
        <f>(B255*(D255/100+1))+1.5</f>
        <v>1.5</v>
      </c>
      <c r="J254" s="30">
        <f t="shared" ref="J254" si="94">H254*I254</f>
        <v>0</v>
      </c>
      <c r="L254">
        <f>B254</f>
        <v>0</v>
      </c>
      <c r="M254" s="37">
        <v>6.4</v>
      </c>
      <c r="N254" s="30">
        <f t="shared" si="92"/>
        <v>0</v>
      </c>
    </row>
    <row r="255" spans="1:14" x14ac:dyDescent="0.25">
      <c r="A255" s="41" t="s">
        <v>197</v>
      </c>
      <c r="B255" s="54"/>
      <c r="C255" s="41"/>
      <c r="D255" s="41">
        <v>10</v>
      </c>
      <c r="I255" s="37"/>
      <c r="J255" s="30"/>
      <c r="M255" s="37"/>
      <c r="N255" s="30">
        <f t="shared" si="92"/>
        <v>0</v>
      </c>
    </row>
    <row r="256" spans="1:14" x14ac:dyDescent="0.25">
      <c r="A256" s="52"/>
      <c r="B256" s="4"/>
      <c r="C256" s="52"/>
      <c r="D256" s="60"/>
      <c r="I256" s="37"/>
      <c r="J256" s="30"/>
      <c r="M256" s="37"/>
      <c r="N256" s="30">
        <f t="shared" si="92"/>
        <v>0</v>
      </c>
    </row>
    <row r="257" spans="1:14" x14ac:dyDescent="0.25">
      <c r="A257" s="41" t="s">
        <v>217</v>
      </c>
      <c r="B257" s="53"/>
      <c r="C257" s="60"/>
      <c r="D257" s="60"/>
      <c r="H257">
        <f>B257</f>
        <v>0</v>
      </c>
      <c r="I257" s="37">
        <f>(B258*(D258/100+1))</f>
        <v>0</v>
      </c>
      <c r="J257" s="30">
        <f t="shared" ref="J257" si="95">H257*I257</f>
        <v>0</v>
      </c>
      <c r="L257">
        <f>B257</f>
        <v>0</v>
      </c>
      <c r="M257" s="37">
        <v>10.8</v>
      </c>
      <c r="N257" s="30">
        <f t="shared" si="92"/>
        <v>0</v>
      </c>
    </row>
    <row r="258" spans="1:14" x14ac:dyDescent="0.25">
      <c r="A258" s="41" t="s">
        <v>197</v>
      </c>
      <c r="B258" s="54"/>
      <c r="C258" s="41"/>
      <c r="D258" s="41">
        <v>10</v>
      </c>
      <c r="I258" s="37"/>
      <c r="J258" s="30"/>
      <c r="M258" s="37"/>
      <c r="N258" s="30">
        <f t="shared" si="92"/>
        <v>0</v>
      </c>
    </row>
    <row r="259" spans="1:14" x14ac:dyDescent="0.25">
      <c r="A259" s="52"/>
      <c r="B259" s="4"/>
      <c r="C259" s="52"/>
      <c r="D259" s="60"/>
      <c r="I259" s="37"/>
      <c r="J259" s="30"/>
      <c r="M259" s="37"/>
      <c r="N259" s="30">
        <f t="shared" si="92"/>
        <v>0</v>
      </c>
    </row>
    <row r="260" spans="1:14" x14ac:dyDescent="0.25">
      <c r="A260" s="41" t="s">
        <v>218</v>
      </c>
      <c r="B260" s="53"/>
      <c r="C260" s="60"/>
      <c r="D260" s="60"/>
      <c r="H260">
        <f t="shared" ref="H260" si="96">B260</f>
        <v>0</v>
      </c>
      <c r="I260" s="37">
        <f>(B261*(D261/100+1))</f>
        <v>0</v>
      </c>
      <c r="J260" s="30">
        <f t="shared" ref="J260" si="97">H260*I260</f>
        <v>0</v>
      </c>
      <c r="L260">
        <f>B260</f>
        <v>0</v>
      </c>
      <c r="M260" s="37">
        <v>16</v>
      </c>
      <c r="N260" s="30">
        <f t="shared" si="92"/>
        <v>0</v>
      </c>
    </row>
    <row r="261" spans="1:14" x14ac:dyDescent="0.25">
      <c r="A261" s="41" t="s">
        <v>194</v>
      </c>
      <c r="B261" s="54"/>
      <c r="C261" s="51"/>
      <c r="D261" s="41">
        <v>10</v>
      </c>
      <c r="I261" s="37"/>
      <c r="J261" s="30"/>
      <c r="M261" s="37"/>
      <c r="N261" s="30">
        <f t="shared" si="92"/>
        <v>0</v>
      </c>
    </row>
    <row r="262" spans="1:14" x14ac:dyDescent="0.25">
      <c r="A262" s="52"/>
      <c r="B262" s="4"/>
      <c r="C262" s="52"/>
      <c r="D262" s="60"/>
      <c r="I262" s="37"/>
      <c r="M262" s="37"/>
      <c r="N262" s="30">
        <f t="shared" si="92"/>
        <v>0</v>
      </c>
    </row>
    <row r="263" spans="1:14" x14ac:dyDescent="0.25">
      <c r="A263" s="41" t="s">
        <v>219</v>
      </c>
      <c r="B263" s="53"/>
      <c r="C263" s="60"/>
      <c r="D263" s="60"/>
      <c r="H263">
        <f>B263</f>
        <v>0</v>
      </c>
      <c r="I263" s="37">
        <f>(B264*(D264/100+1))</f>
        <v>0</v>
      </c>
      <c r="J263" s="30">
        <f>H263*I263*1.1</f>
        <v>0</v>
      </c>
      <c r="L263">
        <f t="shared" ref="L263" si="98">B263</f>
        <v>0</v>
      </c>
      <c r="M263" s="37">
        <v>1.5</v>
      </c>
      <c r="N263" s="30">
        <f t="shared" si="92"/>
        <v>0</v>
      </c>
    </row>
    <row r="264" spans="1:14" x14ac:dyDescent="0.25">
      <c r="A264" s="41" t="s">
        <v>220</v>
      </c>
      <c r="B264" s="54"/>
      <c r="C264" s="41"/>
      <c r="D264" s="41">
        <v>10</v>
      </c>
      <c r="I264" s="37"/>
      <c r="J264" s="30"/>
      <c r="M264" s="37"/>
      <c r="N264" s="30">
        <f t="shared" si="92"/>
        <v>0</v>
      </c>
    </row>
    <row r="265" spans="1:14" x14ac:dyDescent="0.25">
      <c r="A265" s="52"/>
      <c r="C265" s="52"/>
      <c r="D265" s="65"/>
      <c r="I265" s="37"/>
      <c r="J265" s="30"/>
      <c r="M265" s="37"/>
      <c r="N265" s="30">
        <f t="shared" si="92"/>
        <v>0</v>
      </c>
    </row>
    <row r="266" spans="1:14" x14ac:dyDescent="0.25">
      <c r="A266" s="41" t="s">
        <v>223</v>
      </c>
      <c r="B266" s="41"/>
      <c r="C266" s="60"/>
      <c r="D266" s="60"/>
      <c r="H266">
        <f>B266</f>
        <v>0</v>
      </c>
      <c r="I266" s="37">
        <f>(B267*(D267/100+1))+3</f>
        <v>3</v>
      </c>
      <c r="J266" s="30">
        <f>H266*I266</f>
        <v>0</v>
      </c>
      <c r="L266">
        <f t="shared" ref="L266" si="99">B266</f>
        <v>0</v>
      </c>
      <c r="M266" s="37">
        <v>38</v>
      </c>
      <c r="N266" s="30">
        <f t="shared" si="92"/>
        <v>0</v>
      </c>
    </row>
    <row r="267" spans="1:14" x14ac:dyDescent="0.25">
      <c r="A267" s="41" t="s">
        <v>194</v>
      </c>
      <c r="B267" s="41"/>
      <c r="C267" s="41"/>
      <c r="D267" s="41">
        <v>10</v>
      </c>
      <c r="I267" s="37"/>
      <c r="J267" s="30"/>
      <c r="M267" s="37"/>
      <c r="N267" s="30">
        <f t="shared" si="92"/>
        <v>0</v>
      </c>
    </row>
    <row r="268" spans="1:14" x14ac:dyDescent="0.25">
      <c r="A268" s="52"/>
      <c r="C268" s="52"/>
      <c r="D268" s="52"/>
      <c r="I268" s="37"/>
      <c r="J268" s="30"/>
      <c r="M268" s="37"/>
      <c r="N268" s="30">
        <f t="shared" si="92"/>
        <v>0</v>
      </c>
    </row>
    <row r="269" spans="1:14" x14ac:dyDescent="0.25">
      <c r="A269" s="41" t="s">
        <v>228</v>
      </c>
      <c r="B269" s="41"/>
      <c r="C269" s="60"/>
      <c r="D269" s="60"/>
      <c r="E269" s="25" t="s">
        <v>229</v>
      </c>
      <c r="H269">
        <v>1</v>
      </c>
      <c r="I269" s="37">
        <f>B270</f>
        <v>0</v>
      </c>
      <c r="J269" s="30">
        <f t="shared" ref="J269" si="100">H269*I269</f>
        <v>0</v>
      </c>
      <c r="L269">
        <f>B269</f>
        <v>0</v>
      </c>
      <c r="M269" s="37">
        <v>5.04</v>
      </c>
      <c r="N269" s="30">
        <f t="shared" si="92"/>
        <v>0</v>
      </c>
    </row>
    <row r="270" spans="1:14" x14ac:dyDescent="0.25">
      <c r="A270" s="41" t="s">
        <v>194</v>
      </c>
      <c r="B270" s="41"/>
      <c r="C270" s="41"/>
      <c r="D270" s="60"/>
      <c r="E270" s="25" t="s">
        <v>230</v>
      </c>
      <c r="I270" s="37"/>
      <c r="J270" s="30"/>
      <c r="M270" s="37"/>
      <c r="N270" s="30"/>
    </row>
    <row r="271" spans="1:14" x14ac:dyDescent="0.25">
      <c r="A271" s="52"/>
      <c r="C271" s="52"/>
      <c r="D271" s="66"/>
      <c r="I271" s="37"/>
      <c r="J271" s="30"/>
      <c r="M271" s="37"/>
      <c r="N271" s="30"/>
    </row>
    <row r="272" spans="1:14" x14ac:dyDescent="0.25">
      <c r="A272" s="41" t="s">
        <v>203</v>
      </c>
      <c r="B272" s="55"/>
      <c r="C272" s="41"/>
      <c r="D272" s="41"/>
      <c r="I272" s="37">
        <f t="shared" ref="I272" si="101">(B273*(D273/100+1))</f>
        <v>0</v>
      </c>
      <c r="J272" s="30">
        <f>B272</f>
        <v>0</v>
      </c>
      <c r="M272" s="37"/>
      <c r="N272" s="30">
        <f t="shared" ref="N272" si="102">L272*M272</f>
        <v>0</v>
      </c>
    </row>
    <row r="273" spans="1:14" x14ac:dyDescent="0.25">
      <c r="I273" s="37"/>
      <c r="L273">
        <f t="shared" ref="L273" si="103">B273</f>
        <v>0</v>
      </c>
    </row>
    <row r="274" spans="1:14" x14ac:dyDescent="0.25">
      <c r="I274" s="37" t="s">
        <v>209</v>
      </c>
      <c r="J274" s="30">
        <f>SUM(J251:J272)</f>
        <v>0</v>
      </c>
      <c r="M274" t="s">
        <v>209</v>
      </c>
      <c r="N274" s="30">
        <f>SUM(N251:N273)</f>
        <v>0</v>
      </c>
    </row>
    <row r="275" spans="1:14" x14ac:dyDescent="0.25">
      <c r="A275" t="s">
        <v>153</v>
      </c>
      <c r="B275" s="30">
        <f>J274/((100-B276)/100)</f>
        <v>0</v>
      </c>
      <c r="I275" s="37"/>
    </row>
    <row r="276" spans="1:14" x14ac:dyDescent="0.25">
      <c r="A276" t="s">
        <v>169</v>
      </c>
      <c r="B276">
        <v>0</v>
      </c>
      <c r="I276" s="37"/>
    </row>
    <row r="277" spans="1:14" x14ac:dyDescent="0.25">
      <c r="I277" s="37"/>
    </row>
    <row r="278" spans="1:14" x14ac:dyDescent="0.25">
      <c r="A278" t="s">
        <v>210</v>
      </c>
      <c r="B278" s="30">
        <f>N274/((100-B279)/100)</f>
        <v>0</v>
      </c>
      <c r="I278" s="37"/>
    </row>
    <row r="279" spans="1:14" x14ac:dyDescent="0.25">
      <c r="A279" t="s">
        <v>154</v>
      </c>
      <c r="B279">
        <v>0</v>
      </c>
      <c r="I279" s="37"/>
    </row>
  </sheetData>
  <autoFilter ref="B1:B279" xr:uid="{F1A465E9-6190-431E-8C71-9FF6490F6231}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64DE-C594-4206-9006-272ECA9261A3}">
  <dimension ref="A1:M272"/>
  <sheetViews>
    <sheetView zoomScale="85" zoomScaleNormal="85" workbookViewId="0">
      <selection activeCell="B50" sqref="B50"/>
    </sheetView>
  </sheetViews>
  <sheetFormatPr defaultColWidth="8.85546875" defaultRowHeight="15" x14ac:dyDescent="0.25"/>
  <cols>
    <col min="1" max="1" width="46.140625" customWidth="1"/>
    <col min="2" max="2" width="16.85546875" customWidth="1"/>
    <col min="3" max="3" width="23.140625" customWidth="1"/>
    <col min="4" max="4" width="23.85546875" customWidth="1"/>
    <col min="5" max="5" width="9.42578125" customWidth="1"/>
    <col min="8" max="9" width="11.85546875" customWidth="1"/>
    <col min="12" max="12" width="11.42578125" customWidth="1"/>
    <col min="13" max="13" width="10.85546875" customWidth="1"/>
  </cols>
  <sheetData>
    <row r="1" spans="1:13" x14ac:dyDescent="0.25">
      <c r="A1" s="1" t="s">
        <v>279</v>
      </c>
    </row>
    <row r="3" spans="1:13" x14ac:dyDescent="0.25">
      <c r="A3" s="1" t="s">
        <v>106</v>
      </c>
      <c r="B3" s="1" t="s">
        <v>79</v>
      </c>
      <c r="H3" s="37"/>
    </row>
    <row r="4" spans="1:13" x14ac:dyDescent="0.25">
      <c r="A4" s="1" t="s">
        <v>295</v>
      </c>
      <c r="B4" t="s">
        <v>290</v>
      </c>
      <c r="H4" s="37"/>
      <c r="L4" t="s">
        <v>575</v>
      </c>
    </row>
    <row r="5" spans="1:13" x14ac:dyDescent="0.25">
      <c r="B5" s="1" t="s">
        <v>294</v>
      </c>
      <c r="C5" s="1" t="s">
        <v>125</v>
      </c>
      <c r="G5" s="1" t="s">
        <v>114</v>
      </c>
      <c r="H5" s="37"/>
      <c r="K5" s="1" t="s">
        <v>76</v>
      </c>
    </row>
    <row r="6" spans="1:13" x14ac:dyDescent="0.25">
      <c r="A6" s="41" t="s">
        <v>284</v>
      </c>
      <c r="B6" s="53"/>
      <c r="C6" s="60"/>
      <c r="G6" t="s">
        <v>198</v>
      </c>
      <c r="H6" s="37" t="s">
        <v>126</v>
      </c>
      <c r="I6" t="s">
        <v>155</v>
      </c>
      <c r="K6" t="s">
        <v>198</v>
      </c>
      <c r="L6" t="s">
        <v>126</v>
      </c>
      <c r="M6" t="s">
        <v>155</v>
      </c>
    </row>
    <row r="7" spans="1:13" x14ac:dyDescent="0.25">
      <c r="A7" s="41" t="s">
        <v>197</v>
      </c>
      <c r="B7" s="54">
        <v>205</v>
      </c>
      <c r="C7" s="41" t="s">
        <v>283</v>
      </c>
      <c r="D7" s="25"/>
      <c r="G7">
        <f>B6</f>
        <v>0</v>
      </c>
      <c r="H7" s="37">
        <f>B7</f>
        <v>205</v>
      </c>
      <c r="I7" s="30">
        <f>G7*H7</f>
        <v>0</v>
      </c>
      <c r="K7">
        <f>B6</f>
        <v>0</v>
      </c>
      <c r="L7" s="37">
        <v>49.86</v>
      </c>
      <c r="M7" s="30">
        <f>K7*L7</f>
        <v>0</v>
      </c>
    </row>
    <row r="8" spans="1:13" x14ac:dyDescent="0.25">
      <c r="A8" s="52"/>
      <c r="B8" s="4"/>
      <c r="C8" s="52"/>
      <c r="H8" s="37"/>
      <c r="I8" s="30">
        <f t="shared" ref="I8" si="0">G8*H8</f>
        <v>0</v>
      </c>
      <c r="L8" s="37"/>
      <c r="M8" s="30">
        <f t="shared" ref="M8:M25" si="1">K8*L8</f>
        <v>0</v>
      </c>
    </row>
    <row r="9" spans="1:13" x14ac:dyDescent="0.25">
      <c r="A9" s="41" t="s">
        <v>285</v>
      </c>
      <c r="B9" s="53"/>
      <c r="C9" s="60"/>
      <c r="H9" s="37"/>
      <c r="I9" s="30"/>
      <c r="L9" s="37"/>
      <c r="M9" s="30">
        <f t="shared" si="1"/>
        <v>0</v>
      </c>
    </row>
    <row r="10" spans="1:13" x14ac:dyDescent="0.25">
      <c r="A10" s="41" t="s">
        <v>197</v>
      </c>
      <c r="B10" s="54"/>
      <c r="C10" s="41" t="s">
        <v>286</v>
      </c>
      <c r="D10" s="25"/>
      <c r="G10">
        <f>B9</f>
        <v>0</v>
      </c>
      <c r="H10" s="37">
        <f>B10</f>
        <v>0</v>
      </c>
      <c r="I10" s="30">
        <f t="shared" ref="I10" si="2">G10*H10</f>
        <v>0</v>
      </c>
      <c r="K10">
        <f>B9</f>
        <v>0</v>
      </c>
      <c r="L10" s="37">
        <v>49.86</v>
      </c>
      <c r="M10" s="30">
        <f t="shared" si="1"/>
        <v>0</v>
      </c>
    </row>
    <row r="11" spans="1:13" x14ac:dyDescent="0.25">
      <c r="A11" s="52"/>
      <c r="B11" s="4"/>
      <c r="C11" s="52"/>
      <c r="H11" s="37"/>
      <c r="I11" s="30"/>
      <c r="L11" s="37"/>
      <c r="M11" s="30">
        <f t="shared" si="1"/>
        <v>0</v>
      </c>
    </row>
    <row r="12" spans="1:13" x14ac:dyDescent="0.25">
      <c r="A12" s="41" t="s">
        <v>293</v>
      </c>
      <c r="B12" s="53">
        <v>1</v>
      </c>
      <c r="C12" s="60"/>
      <c r="H12" s="37"/>
      <c r="I12" s="30"/>
      <c r="L12" s="37"/>
      <c r="M12" s="30">
        <f t="shared" si="1"/>
        <v>0</v>
      </c>
    </row>
    <row r="13" spans="1:13" x14ac:dyDescent="0.25">
      <c r="A13" s="41" t="s">
        <v>197</v>
      </c>
      <c r="B13" s="54">
        <v>1200</v>
      </c>
      <c r="C13" s="41" t="s">
        <v>655</v>
      </c>
      <c r="G13">
        <f>B12</f>
        <v>1</v>
      </c>
      <c r="H13" s="37">
        <f>B13</f>
        <v>1200</v>
      </c>
      <c r="I13" s="30">
        <f t="shared" ref="I13" si="3">G13*H13</f>
        <v>1200</v>
      </c>
      <c r="K13">
        <f>B12</f>
        <v>1</v>
      </c>
      <c r="L13" s="37">
        <v>61.38</v>
      </c>
      <c r="M13" s="30">
        <f t="shared" si="1"/>
        <v>61.38</v>
      </c>
    </row>
    <row r="14" spans="1:13" x14ac:dyDescent="0.25">
      <c r="A14" s="52"/>
      <c r="B14" s="4"/>
      <c r="C14" s="52"/>
      <c r="D14" s="1" t="s">
        <v>604</v>
      </c>
      <c r="H14" s="37"/>
      <c r="I14" s="30"/>
      <c r="L14" s="37"/>
      <c r="M14" s="30">
        <f t="shared" si="1"/>
        <v>0</v>
      </c>
    </row>
    <row r="15" spans="1:13" x14ac:dyDescent="0.25">
      <c r="A15" s="41" t="s">
        <v>292</v>
      </c>
      <c r="B15" s="53">
        <v>17</v>
      </c>
      <c r="C15" s="60"/>
      <c r="D15" t="s">
        <v>603</v>
      </c>
      <c r="E15" s="37">
        <f>155+38+13</f>
        <v>206</v>
      </c>
      <c r="H15" s="37"/>
      <c r="I15" s="30"/>
      <c r="L15" s="37"/>
      <c r="M15" s="30">
        <f t="shared" si="1"/>
        <v>0</v>
      </c>
    </row>
    <row r="16" spans="1:13" x14ac:dyDescent="0.25">
      <c r="A16" s="41" t="s">
        <v>197</v>
      </c>
      <c r="B16" s="54">
        <v>370</v>
      </c>
      <c r="C16" s="41" t="s">
        <v>282</v>
      </c>
      <c r="D16" t="s">
        <v>601</v>
      </c>
      <c r="E16" s="37">
        <v>310</v>
      </c>
      <c r="G16">
        <f>B15</f>
        <v>17</v>
      </c>
      <c r="H16" s="37">
        <f>B16</f>
        <v>370</v>
      </c>
      <c r="I16" s="30">
        <f t="shared" ref="I16" si="4">G16*H16</f>
        <v>6290</v>
      </c>
      <c r="K16">
        <f>B15</f>
        <v>17</v>
      </c>
      <c r="L16" s="37">
        <v>61.38</v>
      </c>
      <c r="M16" s="30">
        <f t="shared" si="1"/>
        <v>1043.46</v>
      </c>
    </row>
    <row r="17" spans="1:13" x14ac:dyDescent="0.25">
      <c r="A17" s="52"/>
      <c r="B17" s="4"/>
      <c r="C17" s="52"/>
      <c r="D17" t="s">
        <v>602</v>
      </c>
      <c r="E17" s="37">
        <v>690</v>
      </c>
      <c r="H17" s="37"/>
      <c r="I17" s="30"/>
      <c r="L17" s="37"/>
      <c r="M17" s="30">
        <f t="shared" si="1"/>
        <v>0</v>
      </c>
    </row>
    <row r="18" spans="1:13" x14ac:dyDescent="0.25">
      <c r="A18" s="41" t="s">
        <v>281</v>
      </c>
      <c r="B18" s="83"/>
      <c r="C18" s="60"/>
      <c r="H18" s="37"/>
      <c r="L18" s="37"/>
      <c r="M18" s="30">
        <f t="shared" si="1"/>
        <v>0</v>
      </c>
    </row>
    <row r="19" spans="1:13" x14ac:dyDescent="0.25">
      <c r="A19" s="41" t="s">
        <v>289</v>
      </c>
      <c r="B19" s="54"/>
      <c r="C19" s="41"/>
      <c r="G19">
        <f>B18</f>
        <v>0</v>
      </c>
      <c r="H19" s="37">
        <f>B19</f>
        <v>0</v>
      </c>
      <c r="I19" s="30">
        <f>G19*H19*1.1</f>
        <v>0</v>
      </c>
      <c r="K19">
        <f>B18</f>
        <v>0</v>
      </c>
      <c r="L19" s="37">
        <v>423</v>
      </c>
      <c r="M19" s="30">
        <f t="shared" si="1"/>
        <v>0</v>
      </c>
    </row>
    <row r="20" spans="1:13" x14ac:dyDescent="0.25">
      <c r="A20" s="52"/>
      <c r="B20" s="37"/>
      <c r="C20" s="52"/>
      <c r="H20" s="37"/>
      <c r="I20" s="30"/>
      <c r="L20" s="37"/>
      <c r="M20" s="30">
        <f t="shared" si="1"/>
        <v>0</v>
      </c>
    </row>
    <row r="21" spans="1:13" x14ac:dyDescent="0.25">
      <c r="A21" s="41" t="s">
        <v>287</v>
      </c>
      <c r="B21" s="80">
        <v>350</v>
      </c>
      <c r="C21" s="60"/>
      <c r="H21" s="37"/>
      <c r="I21" s="30"/>
      <c r="L21" s="37"/>
      <c r="M21" s="30">
        <f t="shared" si="1"/>
        <v>0</v>
      </c>
    </row>
    <row r="22" spans="1:13" x14ac:dyDescent="0.25">
      <c r="A22" s="41" t="s">
        <v>194</v>
      </c>
      <c r="B22" s="82">
        <v>1.38</v>
      </c>
      <c r="C22" s="41" t="s">
        <v>288</v>
      </c>
      <c r="G22">
        <f>B21</f>
        <v>350</v>
      </c>
      <c r="H22" s="37">
        <f>B22</f>
        <v>1.38</v>
      </c>
      <c r="I22" s="30">
        <f>G22*H22</f>
        <v>482.99999999999994</v>
      </c>
      <c r="K22">
        <f>B21</f>
        <v>350</v>
      </c>
      <c r="L22" s="37">
        <v>2.5</v>
      </c>
      <c r="M22" s="30">
        <f t="shared" si="1"/>
        <v>875</v>
      </c>
    </row>
    <row r="23" spans="1:13" x14ac:dyDescent="0.25">
      <c r="A23" s="52"/>
      <c r="B23" s="37"/>
      <c r="C23" s="52"/>
      <c r="H23" s="37"/>
      <c r="I23" s="30"/>
      <c r="L23" s="37"/>
      <c r="M23" s="30">
        <f t="shared" si="1"/>
        <v>0</v>
      </c>
    </row>
    <row r="24" spans="1:13" x14ac:dyDescent="0.25">
      <c r="A24" s="41" t="s">
        <v>291</v>
      </c>
      <c r="B24" s="80">
        <v>100</v>
      </c>
      <c r="C24" s="60"/>
      <c r="H24" s="37"/>
      <c r="I24" s="30"/>
      <c r="L24" s="37"/>
      <c r="M24" s="30">
        <f t="shared" si="1"/>
        <v>0</v>
      </c>
    </row>
    <row r="25" spans="1:13" x14ac:dyDescent="0.25">
      <c r="A25" s="41" t="s">
        <v>194</v>
      </c>
      <c r="B25" s="82">
        <v>1.5</v>
      </c>
      <c r="C25" s="41"/>
      <c r="D25" s="25"/>
      <c r="G25">
        <f>B24</f>
        <v>100</v>
      </c>
      <c r="H25" s="37">
        <f>B25</f>
        <v>1.5</v>
      </c>
      <c r="I25" s="30">
        <f t="shared" ref="I25" si="5">G25*H25</f>
        <v>150</v>
      </c>
      <c r="K25">
        <f>B24</f>
        <v>100</v>
      </c>
      <c r="L25" s="37">
        <v>2.5</v>
      </c>
      <c r="M25" s="30">
        <f t="shared" si="1"/>
        <v>250</v>
      </c>
    </row>
    <row r="26" spans="1:13" x14ac:dyDescent="0.25">
      <c r="A26" s="52"/>
      <c r="B26" s="37"/>
      <c r="C26" s="52"/>
      <c r="D26" s="25"/>
      <c r="H26" s="37"/>
      <c r="I26" s="30"/>
      <c r="L26" s="37"/>
      <c r="M26" s="30"/>
    </row>
    <row r="27" spans="1:13" x14ac:dyDescent="0.25">
      <c r="A27" s="41" t="s">
        <v>203</v>
      </c>
      <c r="B27" s="55">
        <v>350</v>
      </c>
      <c r="C27" s="41"/>
      <c r="H27" s="37"/>
      <c r="I27" s="30"/>
      <c r="L27" s="37"/>
      <c r="M27" s="30"/>
    </row>
    <row r="28" spans="1:13" x14ac:dyDescent="0.25">
      <c r="H28" s="37">
        <f>B27</f>
        <v>350</v>
      </c>
      <c r="I28" s="30">
        <f>B27</f>
        <v>350</v>
      </c>
      <c r="L28" s="37"/>
      <c r="M28" s="30">
        <f t="shared" ref="M28" si="6">K28*L28</f>
        <v>0</v>
      </c>
    </row>
    <row r="29" spans="1:13" x14ac:dyDescent="0.25">
      <c r="H29" s="37"/>
      <c r="K29">
        <f>B28</f>
        <v>0</v>
      </c>
    </row>
    <row r="30" spans="1:13" x14ac:dyDescent="0.25">
      <c r="A30" t="s">
        <v>153</v>
      </c>
      <c r="B30" s="30">
        <f>I30/((100-B31)/100)</f>
        <v>9414.4444444444434</v>
      </c>
      <c r="C30" t="s">
        <v>653</v>
      </c>
      <c r="H30" s="37" t="s">
        <v>209</v>
      </c>
      <c r="I30" s="30">
        <f>SUM(I7:I28)</f>
        <v>8473</v>
      </c>
      <c r="L30" t="s">
        <v>209</v>
      </c>
      <c r="M30" s="30">
        <f>SUM(M7:M29)</f>
        <v>2229.84</v>
      </c>
    </row>
    <row r="31" spans="1:13" x14ac:dyDescent="0.25">
      <c r="A31" t="s">
        <v>169</v>
      </c>
      <c r="B31">
        <v>10</v>
      </c>
      <c r="H31" s="37"/>
    </row>
    <row r="32" spans="1:13" x14ac:dyDescent="0.25">
      <c r="H32" s="37"/>
    </row>
    <row r="33" spans="1:13" x14ac:dyDescent="0.25">
      <c r="A33" t="s">
        <v>210</v>
      </c>
      <c r="B33" s="30">
        <f>M30/((100-B34)/100)</f>
        <v>2229.84</v>
      </c>
      <c r="H33" s="37"/>
    </row>
    <row r="34" spans="1:13" x14ac:dyDescent="0.25">
      <c r="A34" t="s">
        <v>154</v>
      </c>
      <c r="B34">
        <v>0</v>
      </c>
      <c r="H34" s="37"/>
    </row>
    <row r="35" spans="1:13" x14ac:dyDescent="0.25">
      <c r="H35" s="37"/>
    </row>
    <row r="37" spans="1:13" x14ac:dyDescent="0.25">
      <c r="A37" s="1" t="s">
        <v>107</v>
      </c>
      <c r="B37" s="1" t="s">
        <v>79</v>
      </c>
      <c r="H37" s="37"/>
    </row>
    <row r="38" spans="1:13" x14ac:dyDescent="0.25">
      <c r="A38" s="1" t="s">
        <v>295</v>
      </c>
      <c r="B38" t="s">
        <v>655</v>
      </c>
      <c r="H38" s="37"/>
    </row>
    <row r="39" spans="1:13" x14ac:dyDescent="0.25">
      <c r="B39" s="1" t="s">
        <v>294</v>
      </c>
      <c r="C39" s="1" t="s">
        <v>125</v>
      </c>
      <c r="G39" s="1" t="s">
        <v>114</v>
      </c>
      <c r="H39" s="37"/>
      <c r="K39" s="1" t="s">
        <v>76</v>
      </c>
    </row>
    <row r="40" spans="1:13" x14ac:dyDescent="0.25">
      <c r="A40" s="41" t="s">
        <v>284</v>
      </c>
      <c r="B40" s="53"/>
      <c r="C40" s="60"/>
      <c r="G40" t="s">
        <v>198</v>
      </c>
      <c r="H40" s="37" t="s">
        <v>126</v>
      </c>
      <c r="I40" t="s">
        <v>155</v>
      </c>
      <c r="K40" t="s">
        <v>198</v>
      </c>
      <c r="L40" t="s">
        <v>126</v>
      </c>
      <c r="M40" t="s">
        <v>155</v>
      </c>
    </row>
    <row r="41" spans="1:13" x14ac:dyDescent="0.25">
      <c r="A41" s="41" t="s">
        <v>197</v>
      </c>
      <c r="B41" s="54"/>
      <c r="C41" s="41" t="s">
        <v>283</v>
      </c>
      <c r="D41" s="25"/>
      <c r="G41">
        <f>B40</f>
        <v>0</v>
      </c>
      <c r="H41" s="37">
        <f>B41</f>
        <v>0</v>
      </c>
      <c r="I41" s="30">
        <f>G41*H41</f>
        <v>0</v>
      </c>
      <c r="K41">
        <f>B40</f>
        <v>0</v>
      </c>
      <c r="L41" s="37">
        <v>49.86</v>
      </c>
      <c r="M41" s="30">
        <f>K41*L41</f>
        <v>0</v>
      </c>
    </row>
    <row r="42" spans="1:13" x14ac:dyDescent="0.25">
      <c r="A42" s="52"/>
      <c r="B42" s="4"/>
      <c r="C42" s="52"/>
      <c r="H42" s="37"/>
      <c r="I42" s="30">
        <f t="shared" ref="I42" si="7">G42*H42</f>
        <v>0</v>
      </c>
      <c r="L42" s="37"/>
      <c r="M42" s="30">
        <f t="shared" ref="M42:M59" si="8">K42*L42</f>
        <v>0</v>
      </c>
    </row>
    <row r="43" spans="1:13" x14ac:dyDescent="0.25">
      <c r="A43" s="41" t="s">
        <v>285</v>
      </c>
      <c r="B43" s="53"/>
      <c r="C43" s="60"/>
      <c r="H43" s="37"/>
      <c r="I43" s="30"/>
      <c r="L43" s="37"/>
      <c r="M43" s="30">
        <f t="shared" si="8"/>
        <v>0</v>
      </c>
    </row>
    <row r="44" spans="1:13" x14ac:dyDescent="0.25">
      <c r="A44" s="41" t="s">
        <v>197</v>
      </c>
      <c r="B44" s="54"/>
      <c r="C44" s="41" t="s">
        <v>286</v>
      </c>
      <c r="D44" s="25"/>
      <c r="G44">
        <f>B43</f>
        <v>0</v>
      </c>
      <c r="H44" s="37">
        <f>B44</f>
        <v>0</v>
      </c>
      <c r="I44" s="30">
        <f t="shared" ref="I44" si="9">G44*H44</f>
        <v>0</v>
      </c>
      <c r="K44">
        <f>B43</f>
        <v>0</v>
      </c>
      <c r="L44" s="37">
        <v>49.86</v>
      </c>
      <c r="M44" s="30">
        <f t="shared" si="8"/>
        <v>0</v>
      </c>
    </row>
    <row r="45" spans="1:13" x14ac:dyDescent="0.25">
      <c r="A45" s="52"/>
      <c r="B45" s="4"/>
      <c r="C45" s="52"/>
      <c r="H45" s="37"/>
      <c r="I45" s="30"/>
      <c r="L45" s="37"/>
      <c r="M45" s="30">
        <f t="shared" si="8"/>
        <v>0</v>
      </c>
    </row>
    <row r="46" spans="1:13" x14ac:dyDescent="0.25">
      <c r="A46" s="41" t="s">
        <v>293</v>
      </c>
      <c r="B46" s="53"/>
      <c r="C46" s="60"/>
      <c r="H46" s="37"/>
      <c r="I46" s="30"/>
      <c r="L46" s="37"/>
      <c r="M46" s="30">
        <f t="shared" si="8"/>
        <v>0</v>
      </c>
    </row>
    <row r="47" spans="1:13" x14ac:dyDescent="0.25">
      <c r="A47" s="41" t="s">
        <v>197</v>
      </c>
      <c r="B47" s="54"/>
      <c r="C47" s="41" t="s">
        <v>280</v>
      </c>
      <c r="G47">
        <f>B46</f>
        <v>0</v>
      </c>
      <c r="H47" s="37">
        <f>B47</f>
        <v>0</v>
      </c>
      <c r="I47" s="30">
        <f t="shared" ref="I47" si="10">G47*H47</f>
        <v>0</v>
      </c>
      <c r="K47">
        <f>B46</f>
        <v>0</v>
      </c>
      <c r="L47" s="37">
        <v>61.38</v>
      </c>
      <c r="M47" s="30">
        <f t="shared" si="8"/>
        <v>0</v>
      </c>
    </row>
    <row r="48" spans="1:13" x14ac:dyDescent="0.25">
      <c r="A48" s="52"/>
      <c r="B48" s="4"/>
      <c r="C48" s="52"/>
      <c r="H48" s="37"/>
      <c r="I48" s="30"/>
      <c r="L48" s="37"/>
      <c r="M48" s="30">
        <f t="shared" si="8"/>
        <v>0</v>
      </c>
    </row>
    <row r="49" spans="1:13" x14ac:dyDescent="0.25">
      <c r="A49" s="41" t="s">
        <v>292</v>
      </c>
      <c r="B49" s="53"/>
      <c r="C49" s="60"/>
      <c r="H49" s="37"/>
      <c r="I49" s="30"/>
      <c r="L49" s="37"/>
      <c r="M49" s="30">
        <f t="shared" si="8"/>
        <v>0</v>
      </c>
    </row>
    <row r="50" spans="1:13" x14ac:dyDescent="0.25">
      <c r="A50" s="41" t="s">
        <v>197</v>
      </c>
      <c r="B50" s="54"/>
      <c r="C50" s="41" t="s">
        <v>282</v>
      </c>
      <c r="G50">
        <f>B49</f>
        <v>0</v>
      </c>
      <c r="H50" s="37">
        <f>B50</f>
        <v>0</v>
      </c>
      <c r="I50" s="30">
        <f t="shared" ref="I50" si="11">G50*H50</f>
        <v>0</v>
      </c>
      <c r="K50">
        <f>B49</f>
        <v>0</v>
      </c>
      <c r="L50" s="37">
        <v>61.38</v>
      </c>
      <c r="M50" s="30">
        <f t="shared" si="8"/>
        <v>0</v>
      </c>
    </row>
    <row r="51" spans="1:13" x14ac:dyDescent="0.25">
      <c r="A51" s="52"/>
      <c r="B51" s="4"/>
      <c r="C51" s="52"/>
      <c r="H51" s="37"/>
      <c r="I51" s="30"/>
      <c r="L51" s="37"/>
      <c r="M51" s="30">
        <f t="shared" si="8"/>
        <v>0</v>
      </c>
    </row>
    <row r="52" spans="1:13" x14ac:dyDescent="0.25">
      <c r="A52" s="41" t="s">
        <v>281</v>
      </c>
      <c r="B52" s="83"/>
      <c r="C52" s="60"/>
      <c r="H52" s="37"/>
      <c r="L52" s="37"/>
      <c r="M52" s="30">
        <f t="shared" si="8"/>
        <v>0</v>
      </c>
    </row>
    <row r="53" spans="1:13" x14ac:dyDescent="0.25">
      <c r="A53" s="41" t="s">
        <v>289</v>
      </c>
      <c r="B53" s="54"/>
      <c r="C53" s="41"/>
      <c r="G53">
        <f>B52</f>
        <v>0</v>
      </c>
      <c r="H53" s="37">
        <f>B53</f>
        <v>0</v>
      </c>
      <c r="I53" s="30">
        <f>G53*H53*1.1</f>
        <v>0</v>
      </c>
      <c r="K53">
        <f>B52</f>
        <v>0</v>
      </c>
      <c r="L53" s="37">
        <v>423</v>
      </c>
      <c r="M53" s="30">
        <f t="shared" si="8"/>
        <v>0</v>
      </c>
    </row>
    <row r="54" spans="1:13" x14ac:dyDescent="0.25">
      <c r="A54" s="52"/>
      <c r="B54" s="37"/>
      <c r="C54" s="52"/>
      <c r="H54" s="37"/>
      <c r="I54" s="30"/>
      <c r="L54" s="37"/>
      <c r="M54" s="30">
        <f t="shared" si="8"/>
        <v>0</v>
      </c>
    </row>
    <row r="55" spans="1:13" x14ac:dyDescent="0.25">
      <c r="A55" s="41" t="s">
        <v>287</v>
      </c>
      <c r="B55" s="80"/>
      <c r="C55" s="60"/>
      <c r="H55" s="37"/>
      <c r="I55" s="30"/>
      <c r="L55" s="37"/>
      <c r="M55" s="30">
        <f t="shared" si="8"/>
        <v>0</v>
      </c>
    </row>
    <row r="56" spans="1:13" x14ac:dyDescent="0.25">
      <c r="A56" s="41" t="s">
        <v>194</v>
      </c>
      <c r="B56" s="82"/>
      <c r="C56" s="41" t="s">
        <v>288</v>
      </c>
      <c r="G56">
        <f>B55</f>
        <v>0</v>
      </c>
      <c r="H56" s="37">
        <f>B56</f>
        <v>0</v>
      </c>
      <c r="I56" s="30">
        <f>G56*H56</f>
        <v>0</v>
      </c>
      <c r="K56">
        <f>B55</f>
        <v>0</v>
      </c>
      <c r="L56" s="37">
        <v>2.5</v>
      </c>
      <c r="M56" s="30">
        <f t="shared" si="8"/>
        <v>0</v>
      </c>
    </row>
    <row r="57" spans="1:13" x14ac:dyDescent="0.25">
      <c r="A57" s="52"/>
      <c r="B57" s="37"/>
      <c r="C57" s="52"/>
      <c r="H57" s="37"/>
      <c r="I57" s="30"/>
      <c r="L57" s="37"/>
      <c r="M57" s="30">
        <f t="shared" si="8"/>
        <v>0</v>
      </c>
    </row>
    <row r="58" spans="1:13" x14ac:dyDescent="0.25">
      <c r="A58" s="41" t="s">
        <v>291</v>
      </c>
      <c r="B58" s="80"/>
      <c r="C58" s="60"/>
      <c r="H58" s="37"/>
      <c r="I58" s="30"/>
      <c r="L58" s="37"/>
      <c r="M58" s="30">
        <f t="shared" si="8"/>
        <v>0</v>
      </c>
    </row>
    <row r="59" spans="1:13" x14ac:dyDescent="0.25">
      <c r="A59" s="41" t="s">
        <v>194</v>
      </c>
      <c r="B59" s="82"/>
      <c r="C59" s="41"/>
      <c r="D59" s="25"/>
      <c r="G59">
        <f>B58</f>
        <v>0</v>
      </c>
      <c r="H59" s="37">
        <f>B59</f>
        <v>0</v>
      </c>
      <c r="I59" s="30">
        <f t="shared" ref="I59" si="12">G59*H59</f>
        <v>0</v>
      </c>
      <c r="K59">
        <f>B58</f>
        <v>0</v>
      </c>
      <c r="L59" s="37">
        <v>2.5</v>
      </c>
      <c r="M59" s="30">
        <f t="shared" si="8"/>
        <v>0</v>
      </c>
    </row>
    <row r="60" spans="1:13" x14ac:dyDescent="0.25">
      <c r="A60" s="52"/>
      <c r="B60" s="37"/>
      <c r="C60" s="52"/>
      <c r="D60" s="25"/>
      <c r="H60" s="37"/>
      <c r="I60" s="30"/>
      <c r="L60" s="37"/>
      <c r="M60" s="30"/>
    </row>
    <row r="61" spans="1:13" x14ac:dyDescent="0.25">
      <c r="A61" s="41" t="s">
        <v>203</v>
      </c>
      <c r="B61" s="55"/>
      <c r="C61" s="41"/>
      <c r="H61" s="37"/>
      <c r="I61" s="30"/>
      <c r="L61" s="37"/>
      <c r="M61" s="30"/>
    </row>
    <row r="62" spans="1:13" x14ac:dyDescent="0.25">
      <c r="H62" s="37">
        <f>B61</f>
        <v>0</v>
      </c>
      <c r="I62" s="30">
        <f>B61</f>
        <v>0</v>
      </c>
      <c r="L62" s="37"/>
      <c r="M62" s="30">
        <f t="shared" ref="M62" si="13">K62*L62</f>
        <v>0</v>
      </c>
    </row>
    <row r="63" spans="1:13" x14ac:dyDescent="0.25">
      <c r="H63" s="37"/>
      <c r="K63">
        <f>B62</f>
        <v>0</v>
      </c>
    </row>
    <row r="64" spans="1:13" x14ac:dyDescent="0.25">
      <c r="A64" t="s">
        <v>153</v>
      </c>
      <c r="B64" s="30">
        <f>I64/((100-B65)/100)</f>
        <v>0</v>
      </c>
      <c r="H64" s="37" t="s">
        <v>209</v>
      </c>
      <c r="I64" s="30">
        <f>SUM(I41:I62)</f>
        <v>0</v>
      </c>
      <c r="L64" t="s">
        <v>209</v>
      </c>
      <c r="M64" s="30">
        <f>SUM(M41:M63)</f>
        <v>0</v>
      </c>
    </row>
    <row r="65" spans="1:13" x14ac:dyDescent="0.25">
      <c r="A65" t="s">
        <v>169</v>
      </c>
      <c r="B65">
        <v>0</v>
      </c>
      <c r="H65" s="37"/>
    </row>
    <row r="66" spans="1:13" x14ac:dyDescent="0.25">
      <c r="H66" s="37"/>
    </row>
    <row r="67" spans="1:13" x14ac:dyDescent="0.25">
      <c r="A67" t="s">
        <v>210</v>
      </c>
      <c r="B67" s="30">
        <f>M64/((100-B68)/100)</f>
        <v>0</v>
      </c>
      <c r="H67" s="37"/>
    </row>
    <row r="68" spans="1:13" x14ac:dyDescent="0.25">
      <c r="A68" t="s">
        <v>154</v>
      </c>
      <c r="B68">
        <v>0</v>
      </c>
      <c r="H68" s="37"/>
    </row>
    <row r="71" spans="1:13" x14ac:dyDescent="0.25">
      <c r="A71" s="1" t="s">
        <v>108</v>
      </c>
      <c r="B71" s="1" t="s">
        <v>79</v>
      </c>
      <c r="H71" s="37"/>
    </row>
    <row r="72" spans="1:13" x14ac:dyDescent="0.25">
      <c r="A72" s="1" t="s">
        <v>295</v>
      </c>
      <c r="H72" s="37"/>
    </row>
    <row r="73" spans="1:13" x14ac:dyDescent="0.25">
      <c r="B73" s="1" t="s">
        <v>294</v>
      </c>
      <c r="C73" s="1" t="s">
        <v>125</v>
      </c>
      <c r="G73" s="1" t="s">
        <v>114</v>
      </c>
      <c r="H73" s="37"/>
      <c r="K73" s="1" t="s">
        <v>76</v>
      </c>
    </row>
    <row r="74" spans="1:13" x14ac:dyDescent="0.25">
      <c r="A74" s="41" t="s">
        <v>284</v>
      </c>
      <c r="B74" s="53"/>
      <c r="C74" s="60"/>
      <c r="G74" t="s">
        <v>198</v>
      </c>
      <c r="H74" s="37" t="s">
        <v>126</v>
      </c>
      <c r="I74" t="s">
        <v>155</v>
      </c>
      <c r="K74" t="s">
        <v>198</v>
      </c>
      <c r="L74" t="s">
        <v>126</v>
      </c>
      <c r="M74" t="s">
        <v>155</v>
      </c>
    </row>
    <row r="75" spans="1:13" x14ac:dyDescent="0.25">
      <c r="A75" s="41" t="s">
        <v>197</v>
      </c>
      <c r="B75" s="54"/>
      <c r="C75" s="41" t="s">
        <v>283</v>
      </c>
      <c r="D75" s="25"/>
      <c r="G75">
        <f>B74</f>
        <v>0</v>
      </c>
      <c r="H75" s="37">
        <f>B75</f>
        <v>0</v>
      </c>
      <c r="I75" s="30">
        <f>G75*H75</f>
        <v>0</v>
      </c>
      <c r="K75">
        <f>B74</f>
        <v>0</v>
      </c>
      <c r="L75" s="37">
        <v>49.86</v>
      </c>
      <c r="M75" s="30">
        <f>K75*L75</f>
        <v>0</v>
      </c>
    </row>
    <row r="76" spans="1:13" x14ac:dyDescent="0.25">
      <c r="A76" s="52"/>
      <c r="B76" s="4"/>
      <c r="C76" s="52"/>
      <c r="H76" s="37"/>
      <c r="I76" s="30">
        <f t="shared" ref="I76" si="14">G76*H76</f>
        <v>0</v>
      </c>
      <c r="L76" s="37"/>
      <c r="M76" s="30">
        <f t="shared" ref="M76:M93" si="15">K76*L76</f>
        <v>0</v>
      </c>
    </row>
    <row r="77" spans="1:13" x14ac:dyDescent="0.25">
      <c r="A77" s="41" t="s">
        <v>285</v>
      </c>
      <c r="B77" s="53"/>
      <c r="C77" s="60"/>
      <c r="H77" s="37"/>
      <c r="I77" s="30"/>
      <c r="L77" s="37"/>
      <c r="M77" s="30">
        <f t="shared" si="15"/>
        <v>0</v>
      </c>
    </row>
    <row r="78" spans="1:13" x14ac:dyDescent="0.25">
      <c r="A78" s="41" t="s">
        <v>197</v>
      </c>
      <c r="B78" s="54"/>
      <c r="C78" s="41" t="s">
        <v>286</v>
      </c>
      <c r="D78" s="25"/>
      <c r="G78">
        <f>B77</f>
        <v>0</v>
      </c>
      <c r="H78" s="37">
        <f>B78</f>
        <v>0</v>
      </c>
      <c r="I78" s="30">
        <f t="shared" ref="I78" si="16">G78*H78</f>
        <v>0</v>
      </c>
      <c r="K78">
        <f>B77</f>
        <v>0</v>
      </c>
      <c r="L78" s="37">
        <v>49.86</v>
      </c>
      <c r="M78" s="30">
        <f t="shared" si="15"/>
        <v>0</v>
      </c>
    </row>
    <row r="79" spans="1:13" x14ac:dyDescent="0.25">
      <c r="A79" s="52"/>
      <c r="B79" s="4"/>
      <c r="C79" s="52"/>
      <c r="H79" s="37"/>
      <c r="I79" s="30"/>
      <c r="L79" s="37"/>
      <c r="M79" s="30">
        <f t="shared" si="15"/>
        <v>0</v>
      </c>
    </row>
    <row r="80" spans="1:13" x14ac:dyDescent="0.25">
      <c r="A80" s="41" t="s">
        <v>293</v>
      </c>
      <c r="B80" s="53"/>
      <c r="C80" s="60"/>
      <c r="H80" s="37"/>
      <c r="I80" s="30"/>
      <c r="L80" s="37"/>
      <c r="M80" s="30">
        <f t="shared" si="15"/>
        <v>0</v>
      </c>
    </row>
    <row r="81" spans="1:13" x14ac:dyDescent="0.25">
      <c r="A81" s="41" t="s">
        <v>197</v>
      </c>
      <c r="B81" s="54"/>
      <c r="C81" s="41" t="s">
        <v>280</v>
      </c>
      <c r="G81">
        <f>B80</f>
        <v>0</v>
      </c>
      <c r="H81" s="37">
        <f>B81</f>
        <v>0</v>
      </c>
      <c r="I81" s="30">
        <f t="shared" ref="I81" si="17">G81*H81</f>
        <v>0</v>
      </c>
      <c r="K81">
        <f>B80</f>
        <v>0</v>
      </c>
      <c r="L81" s="37">
        <v>61.38</v>
      </c>
      <c r="M81" s="30">
        <f t="shared" si="15"/>
        <v>0</v>
      </c>
    </row>
    <row r="82" spans="1:13" x14ac:dyDescent="0.25">
      <c r="A82" s="52"/>
      <c r="B82" s="4"/>
      <c r="C82" s="52"/>
      <c r="H82" s="37"/>
      <c r="I82" s="30"/>
      <c r="L82" s="37"/>
      <c r="M82" s="30">
        <f t="shared" si="15"/>
        <v>0</v>
      </c>
    </row>
    <row r="83" spans="1:13" x14ac:dyDescent="0.25">
      <c r="A83" s="41" t="s">
        <v>292</v>
      </c>
      <c r="B83" s="53"/>
      <c r="C83" s="60"/>
      <c r="H83" s="37"/>
      <c r="I83" s="30"/>
      <c r="L83" s="37"/>
      <c r="M83" s="30">
        <f t="shared" si="15"/>
        <v>0</v>
      </c>
    </row>
    <row r="84" spans="1:13" x14ac:dyDescent="0.25">
      <c r="A84" s="41" t="s">
        <v>197</v>
      </c>
      <c r="B84" s="54"/>
      <c r="C84" s="41" t="s">
        <v>282</v>
      </c>
      <c r="G84">
        <f>B83</f>
        <v>0</v>
      </c>
      <c r="H84" s="37">
        <f>B84</f>
        <v>0</v>
      </c>
      <c r="I84" s="30">
        <f t="shared" ref="I84" si="18">G84*H84</f>
        <v>0</v>
      </c>
      <c r="K84">
        <f>B83</f>
        <v>0</v>
      </c>
      <c r="L84" s="37">
        <v>61.38</v>
      </c>
      <c r="M84" s="30">
        <f t="shared" si="15"/>
        <v>0</v>
      </c>
    </row>
    <row r="85" spans="1:13" x14ac:dyDescent="0.25">
      <c r="A85" s="52"/>
      <c r="B85" s="4"/>
      <c r="C85" s="52"/>
      <c r="H85" s="37"/>
      <c r="I85" s="30"/>
      <c r="L85" s="37"/>
      <c r="M85" s="30">
        <f t="shared" si="15"/>
        <v>0</v>
      </c>
    </row>
    <row r="86" spans="1:13" x14ac:dyDescent="0.25">
      <c r="A86" s="41" t="s">
        <v>281</v>
      </c>
      <c r="B86" s="83"/>
      <c r="C86" s="60"/>
      <c r="H86" s="37"/>
      <c r="L86" s="37"/>
      <c r="M86" s="30">
        <f t="shared" si="15"/>
        <v>0</v>
      </c>
    </row>
    <row r="87" spans="1:13" x14ac:dyDescent="0.25">
      <c r="A87" s="41" t="s">
        <v>289</v>
      </c>
      <c r="B87" s="54"/>
      <c r="C87" s="41"/>
      <c r="G87">
        <f>B86</f>
        <v>0</v>
      </c>
      <c r="H87" s="37">
        <f>B87</f>
        <v>0</v>
      </c>
      <c r="I87" s="30">
        <f>G87*H87*1.1</f>
        <v>0</v>
      </c>
      <c r="K87">
        <f>B86</f>
        <v>0</v>
      </c>
      <c r="L87" s="37">
        <v>423</v>
      </c>
      <c r="M87" s="30">
        <f t="shared" si="15"/>
        <v>0</v>
      </c>
    </row>
    <row r="88" spans="1:13" x14ac:dyDescent="0.25">
      <c r="A88" s="52"/>
      <c r="B88" s="37"/>
      <c r="C88" s="52"/>
      <c r="H88" s="37"/>
      <c r="I88" s="30"/>
      <c r="L88" s="37"/>
      <c r="M88" s="30">
        <f t="shared" si="15"/>
        <v>0</v>
      </c>
    </row>
    <row r="89" spans="1:13" x14ac:dyDescent="0.25">
      <c r="A89" s="41" t="s">
        <v>287</v>
      </c>
      <c r="B89" s="80"/>
      <c r="C89" s="60"/>
      <c r="H89" s="37"/>
      <c r="I89" s="30"/>
      <c r="L89" s="37"/>
      <c r="M89" s="30">
        <f t="shared" si="15"/>
        <v>0</v>
      </c>
    </row>
    <row r="90" spans="1:13" x14ac:dyDescent="0.25">
      <c r="A90" s="41" t="s">
        <v>194</v>
      </c>
      <c r="B90" s="82"/>
      <c r="C90" s="41" t="s">
        <v>288</v>
      </c>
      <c r="G90">
        <f>B89</f>
        <v>0</v>
      </c>
      <c r="H90" s="37">
        <f>B90</f>
        <v>0</v>
      </c>
      <c r="I90" s="30">
        <f>G90*H90</f>
        <v>0</v>
      </c>
      <c r="K90">
        <f>B89</f>
        <v>0</v>
      </c>
      <c r="L90" s="37">
        <v>2.5</v>
      </c>
      <c r="M90" s="30">
        <f t="shared" si="15"/>
        <v>0</v>
      </c>
    </row>
    <row r="91" spans="1:13" x14ac:dyDescent="0.25">
      <c r="A91" s="52"/>
      <c r="B91" s="37"/>
      <c r="C91" s="52"/>
      <c r="H91" s="37"/>
      <c r="I91" s="30"/>
      <c r="L91" s="37"/>
      <c r="M91" s="30">
        <f t="shared" si="15"/>
        <v>0</v>
      </c>
    </row>
    <row r="92" spans="1:13" x14ac:dyDescent="0.25">
      <c r="A92" s="41" t="s">
        <v>291</v>
      </c>
      <c r="B92" s="80"/>
      <c r="C92" s="60"/>
      <c r="H92" s="37"/>
      <c r="I92" s="30"/>
      <c r="L92" s="37"/>
      <c r="M92" s="30">
        <f t="shared" si="15"/>
        <v>0</v>
      </c>
    </row>
    <row r="93" spans="1:13" x14ac:dyDescent="0.25">
      <c r="A93" s="41" t="s">
        <v>194</v>
      </c>
      <c r="B93" s="82"/>
      <c r="C93" s="41"/>
      <c r="D93" s="25"/>
      <c r="G93">
        <f>B92</f>
        <v>0</v>
      </c>
      <c r="H93" s="37">
        <f>B93</f>
        <v>0</v>
      </c>
      <c r="I93" s="30">
        <f t="shared" ref="I93" si="19">G93*H93</f>
        <v>0</v>
      </c>
      <c r="K93">
        <f>B92</f>
        <v>0</v>
      </c>
      <c r="L93" s="37">
        <v>2.5</v>
      </c>
      <c r="M93" s="30">
        <f t="shared" si="15"/>
        <v>0</v>
      </c>
    </row>
    <row r="94" spans="1:13" x14ac:dyDescent="0.25">
      <c r="A94" s="52"/>
      <c r="B94" s="37"/>
      <c r="C94" s="52"/>
      <c r="D94" s="25"/>
      <c r="H94" s="37"/>
      <c r="I94" s="30"/>
      <c r="L94" s="37"/>
      <c r="M94" s="30"/>
    </row>
    <row r="95" spans="1:13" x14ac:dyDescent="0.25">
      <c r="A95" s="41" t="s">
        <v>203</v>
      </c>
      <c r="B95" s="55"/>
      <c r="C95" s="41"/>
      <c r="H95" s="37"/>
      <c r="I95" s="30"/>
      <c r="L95" s="37"/>
      <c r="M95" s="30"/>
    </row>
    <row r="96" spans="1:13" x14ac:dyDescent="0.25">
      <c r="H96" s="37">
        <f>B95</f>
        <v>0</v>
      </c>
      <c r="I96" s="30">
        <f>B95</f>
        <v>0</v>
      </c>
      <c r="L96" s="37"/>
      <c r="M96" s="30">
        <f t="shared" ref="M96" si="20">K96*L96</f>
        <v>0</v>
      </c>
    </row>
    <row r="97" spans="1:13" x14ac:dyDescent="0.25">
      <c r="H97" s="37"/>
      <c r="K97">
        <f>B96</f>
        <v>0</v>
      </c>
    </row>
    <row r="98" spans="1:13" x14ac:dyDescent="0.25">
      <c r="A98" t="s">
        <v>153</v>
      </c>
      <c r="B98" s="30">
        <f>I98/((100-B99)/100)</f>
        <v>0</v>
      </c>
      <c r="H98" s="37" t="s">
        <v>209</v>
      </c>
      <c r="I98" s="30">
        <f>SUM(I75:I96)</f>
        <v>0</v>
      </c>
      <c r="L98" t="s">
        <v>209</v>
      </c>
      <c r="M98" s="30">
        <f>SUM(M75:M97)</f>
        <v>0</v>
      </c>
    </row>
    <row r="99" spans="1:13" x14ac:dyDescent="0.25">
      <c r="A99" t="s">
        <v>169</v>
      </c>
      <c r="B99">
        <v>0</v>
      </c>
      <c r="H99" s="37"/>
    </row>
    <row r="100" spans="1:13" x14ac:dyDescent="0.25">
      <c r="H100" s="37"/>
    </row>
    <row r="101" spans="1:13" x14ac:dyDescent="0.25">
      <c r="A101" t="s">
        <v>210</v>
      </c>
      <c r="B101" s="30">
        <f>M98/((100-B102)/100)</f>
        <v>0</v>
      </c>
      <c r="H101" s="37"/>
    </row>
    <row r="102" spans="1:13" x14ac:dyDescent="0.25">
      <c r="A102" t="s">
        <v>154</v>
      </c>
      <c r="B102">
        <v>0</v>
      </c>
      <c r="H102" s="37"/>
    </row>
    <row r="105" spans="1:13" x14ac:dyDescent="0.25">
      <c r="A105" s="1" t="s">
        <v>109</v>
      </c>
      <c r="B105" s="1" t="s">
        <v>79</v>
      </c>
      <c r="H105" s="37"/>
    </row>
    <row r="106" spans="1:13" x14ac:dyDescent="0.25">
      <c r="A106" s="1" t="s">
        <v>295</v>
      </c>
      <c r="H106" s="37"/>
    </row>
    <row r="107" spans="1:13" x14ac:dyDescent="0.25">
      <c r="B107" s="1" t="s">
        <v>294</v>
      </c>
      <c r="C107" s="1" t="s">
        <v>125</v>
      </c>
      <c r="G107" s="1" t="s">
        <v>114</v>
      </c>
      <c r="H107" s="37"/>
      <c r="K107" s="1" t="s">
        <v>76</v>
      </c>
    </row>
    <row r="108" spans="1:13" x14ac:dyDescent="0.25">
      <c r="A108" s="41" t="s">
        <v>284</v>
      </c>
      <c r="B108" s="53"/>
      <c r="C108" s="60"/>
      <c r="G108" t="s">
        <v>198</v>
      </c>
      <c r="H108" s="37" t="s">
        <v>126</v>
      </c>
      <c r="I108" t="s">
        <v>155</v>
      </c>
      <c r="K108" t="s">
        <v>198</v>
      </c>
      <c r="L108" t="s">
        <v>126</v>
      </c>
      <c r="M108" t="s">
        <v>155</v>
      </c>
    </row>
    <row r="109" spans="1:13" x14ac:dyDescent="0.25">
      <c r="A109" s="41" t="s">
        <v>197</v>
      </c>
      <c r="B109" s="54"/>
      <c r="C109" s="41" t="s">
        <v>283</v>
      </c>
      <c r="D109" s="25"/>
      <c r="G109">
        <f>B108</f>
        <v>0</v>
      </c>
      <c r="H109" s="37">
        <f>B109</f>
        <v>0</v>
      </c>
      <c r="I109" s="30">
        <f>G109*H109</f>
        <v>0</v>
      </c>
      <c r="K109">
        <f>B108</f>
        <v>0</v>
      </c>
      <c r="L109" s="37">
        <v>49.86</v>
      </c>
      <c r="M109" s="30">
        <f>K109*L109</f>
        <v>0</v>
      </c>
    </row>
    <row r="110" spans="1:13" x14ac:dyDescent="0.25">
      <c r="A110" s="52"/>
      <c r="B110" s="4"/>
      <c r="C110" s="52"/>
      <c r="H110" s="37"/>
      <c r="I110" s="30">
        <f t="shared" ref="I110" si="21">G110*H110</f>
        <v>0</v>
      </c>
      <c r="L110" s="37"/>
      <c r="M110" s="30">
        <f t="shared" ref="M110:M127" si="22">K110*L110</f>
        <v>0</v>
      </c>
    </row>
    <row r="111" spans="1:13" x14ac:dyDescent="0.25">
      <c r="A111" s="41" t="s">
        <v>285</v>
      </c>
      <c r="B111" s="53"/>
      <c r="C111" s="60"/>
      <c r="H111" s="37"/>
      <c r="I111" s="30"/>
      <c r="L111" s="37"/>
      <c r="M111" s="30">
        <f t="shared" si="22"/>
        <v>0</v>
      </c>
    </row>
    <row r="112" spans="1:13" x14ac:dyDescent="0.25">
      <c r="A112" s="41" t="s">
        <v>197</v>
      </c>
      <c r="B112" s="54"/>
      <c r="C112" s="41" t="s">
        <v>286</v>
      </c>
      <c r="D112" s="25"/>
      <c r="G112">
        <f>B111</f>
        <v>0</v>
      </c>
      <c r="H112" s="37">
        <f>B112</f>
        <v>0</v>
      </c>
      <c r="I112" s="30">
        <f t="shared" ref="I112" si="23">G112*H112</f>
        <v>0</v>
      </c>
      <c r="K112">
        <f>B111</f>
        <v>0</v>
      </c>
      <c r="L112" s="37">
        <v>49.86</v>
      </c>
      <c r="M112" s="30">
        <f t="shared" si="22"/>
        <v>0</v>
      </c>
    </row>
    <row r="113" spans="1:13" x14ac:dyDescent="0.25">
      <c r="A113" s="52"/>
      <c r="B113" s="4"/>
      <c r="C113" s="52"/>
      <c r="H113" s="37"/>
      <c r="I113" s="30"/>
      <c r="L113" s="37"/>
      <c r="M113" s="30">
        <f t="shared" si="22"/>
        <v>0</v>
      </c>
    </row>
    <row r="114" spans="1:13" x14ac:dyDescent="0.25">
      <c r="A114" s="41" t="s">
        <v>293</v>
      </c>
      <c r="B114" s="53"/>
      <c r="C114" s="60"/>
      <c r="H114" s="37"/>
      <c r="I114" s="30"/>
      <c r="L114" s="37"/>
      <c r="M114" s="30">
        <f t="shared" si="22"/>
        <v>0</v>
      </c>
    </row>
    <row r="115" spans="1:13" x14ac:dyDescent="0.25">
      <c r="A115" s="41" t="s">
        <v>197</v>
      </c>
      <c r="B115" s="54"/>
      <c r="C115" s="41" t="s">
        <v>280</v>
      </c>
      <c r="G115">
        <f>B114</f>
        <v>0</v>
      </c>
      <c r="H115" s="37">
        <f>B115</f>
        <v>0</v>
      </c>
      <c r="I115" s="30">
        <f t="shared" ref="I115" si="24">G115*H115</f>
        <v>0</v>
      </c>
      <c r="K115">
        <f>B114</f>
        <v>0</v>
      </c>
      <c r="L115" s="37">
        <v>61.38</v>
      </c>
      <c r="M115" s="30">
        <f t="shared" si="22"/>
        <v>0</v>
      </c>
    </row>
    <row r="116" spans="1:13" x14ac:dyDescent="0.25">
      <c r="A116" s="52"/>
      <c r="B116" s="4"/>
      <c r="C116" s="52"/>
      <c r="H116" s="37"/>
      <c r="I116" s="30"/>
      <c r="L116" s="37"/>
      <c r="M116" s="30">
        <f t="shared" si="22"/>
        <v>0</v>
      </c>
    </row>
    <row r="117" spans="1:13" x14ac:dyDescent="0.25">
      <c r="A117" s="41" t="s">
        <v>292</v>
      </c>
      <c r="B117" s="53"/>
      <c r="C117" s="60"/>
      <c r="H117" s="37"/>
      <c r="I117" s="30"/>
      <c r="L117" s="37"/>
      <c r="M117" s="30">
        <f t="shared" si="22"/>
        <v>0</v>
      </c>
    </row>
    <row r="118" spans="1:13" x14ac:dyDescent="0.25">
      <c r="A118" s="41" t="s">
        <v>197</v>
      </c>
      <c r="B118" s="54"/>
      <c r="C118" s="41" t="s">
        <v>282</v>
      </c>
      <c r="G118">
        <f>B117</f>
        <v>0</v>
      </c>
      <c r="H118" s="37">
        <f>B118</f>
        <v>0</v>
      </c>
      <c r="I118" s="30">
        <f t="shared" ref="I118" si="25">G118*H118</f>
        <v>0</v>
      </c>
      <c r="K118">
        <f>B117</f>
        <v>0</v>
      </c>
      <c r="L118" s="37">
        <v>61.38</v>
      </c>
      <c r="M118" s="30">
        <f t="shared" si="22"/>
        <v>0</v>
      </c>
    </row>
    <row r="119" spans="1:13" x14ac:dyDescent="0.25">
      <c r="A119" s="52"/>
      <c r="B119" s="4"/>
      <c r="C119" s="52"/>
      <c r="H119" s="37"/>
      <c r="I119" s="30"/>
      <c r="L119" s="37"/>
      <c r="M119" s="30">
        <f t="shared" si="22"/>
        <v>0</v>
      </c>
    </row>
    <row r="120" spans="1:13" x14ac:dyDescent="0.25">
      <c r="A120" s="41" t="s">
        <v>281</v>
      </c>
      <c r="B120" s="83"/>
      <c r="C120" s="60"/>
      <c r="H120" s="37"/>
      <c r="L120" s="37"/>
      <c r="M120" s="30">
        <f t="shared" si="22"/>
        <v>0</v>
      </c>
    </row>
    <row r="121" spans="1:13" x14ac:dyDescent="0.25">
      <c r="A121" s="41" t="s">
        <v>289</v>
      </c>
      <c r="B121" s="54"/>
      <c r="C121" s="41"/>
      <c r="G121">
        <f>B120</f>
        <v>0</v>
      </c>
      <c r="H121" s="37">
        <f>B121</f>
        <v>0</v>
      </c>
      <c r="I121" s="30">
        <f>G121*H121*1.1</f>
        <v>0</v>
      </c>
      <c r="K121">
        <f>B120</f>
        <v>0</v>
      </c>
      <c r="L121" s="37">
        <v>423</v>
      </c>
      <c r="M121" s="30">
        <f t="shared" si="22"/>
        <v>0</v>
      </c>
    </row>
    <row r="122" spans="1:13" x14ac:dyDescent="0.25">
      <c r="A122" s="52"/>
      <c r="B122" s="37"/>
      <c r="C122" s="52"/>
      <c r="H122" s="37"/>
      <c r="I122" s="30"/>
      <c r="L122" s="37"/>
      <c r="M122" s="30">
        <f t="shared" si="22"/>
        <v>0</v>
      </c>
    </row>
    <row r="123" spans="1:13" x14ac:dyDescent="0.25">
      <c r="A123" s="41" t="s">
        <v>287</v>
      </c>
      <c r="B123" s="80"/>
      <c r="C123" s="60"/>
      <c r="H123" s="37"/>
      <c r="I123" s="30"/>
      <c r="L123" s="37"/>
      <c r="M123" s="30">
        <f t="shared" si="22"/>
        <v>0</v>
      </c>
    </row>
    <row r="124" spans="1:13" x14ac:dyDescent="0.25">
      <c r="A124" s="41" t="s">
        <v>194</v>
      </c>
      <c r="B124" s="82"/>
      <c r="C124" s="41" t="s">
        <v>288</v>
      </c>
      <c r="G124">
        <f>B123</f>
        <v>0</v>
      </c>
      <c r="H124" s="37">
        <f>B124</f>
        <v>0</v>
      </c>
      <c r="I124" s="30">
        <f>G124*H124</f>
        <v>0</v>
      </c>
      <c r="K124">
        <f>B123</f>
        <v>0</v>
      </c>
      <c r="L124" s="37">
        <v>2.5</v>
      </c>
      <c r="M124" s="30">
        <f t="shared" si="22"/>
        <v>0</v>
      </c>
    </row>
    <row r="125" spans="1:13" x14ac:dyDescent="0.25">
      <c r="A125" s="52"/>
      <c r="B125" s="37"/>
      <c r="C125" s="52"/>
      <c r="H125" s="37"/>
      <c r="I125" s="30"/>
      <c r="L125" s="37"/>
      <c r="M125" s="30">
        <f t="shared" si="22"/>
        <v>0</v>
      </c>
    </row>
    <row r="126" spans="1:13" x14ac:dyDescent="0.25">
      <c r="A126" s="41" t="s">
        <v>291</v>
      </c>
      <c r="B126" s="80"/>
      <c r="C126" s="60"/>
      <c r="H126" s="37"/>
      <c r="I126" s="30"/>
      <c r="L126" s="37"/>
      <c r="M126" s="30">
        <f t="shared" si="22"/>
        <v>0</v>
      </c>
    </row>
    <row r="127" spans="1:13" x14ac:dyDescent="0.25">
      <c r="A127" s="41" t="s">
        <v>194</v>
      </c>
      <c r="B127" s="82"/>
      <c r="C127" s="41"/>
      <c r="D127" s="25"/>
      <c r="G127">
        <f>B126</f>
        <v>0</v>
      </c>
      <c r="H127" s="37">
        <f>B127</f>
        <v>0</v>
      </c>
      <c r="I127" s="30">
        <f t="shared" ref="I127" si="26">G127*H127</f>
        <v>0</v>
      </c>
      <c r="K127">
        <f>B126</f>
        <v>0</v>
      </c>
      <c r="L127" s="37">
        <v>2.5</v>
      </c>
      <c r="M127" s="30">
        <f t="shared" si="22"/>
        <v>0</v>
      </c>
    </row>
    <row r="128" spans="1:13" x14ac:dyDescent="0.25">
      <c r="A128" s="52"/>
      <c r="B128" s="37"/>
      <c r="C128" s="52"/>
      <c r="D128" s="25"/>
      <c r="H128" s="37"/>
      <c r="I128" s="30"/>
      <c r="L128" s="37"/>
      <c r="M128" s="30"/>
    </row>
    <row r="129" spans="1:13" x14ac:dyDescent="0.25">
      <c r="A129" s="41" t="s">
        <v>203</v>
      </c>
      <c r="B129" s="55"/>
      <c r="C129" s="41"/>
      <c r="H129" s="37"/>
      <c r="I129" s="30"/>
      <c r="L129" s="37"/>
      <c r="M129" s="30"/>
    </row>
    <row r="130" spans="1:13" x14ac:dyDescent="0.25">
      <c r="H130" s="37">
        <f>B129</f>
        <v>0</v>
      </c>
      <c r="I130" s="30">
        <f>B129</f>
        <v>0</v>
      </c>
      <c r="L130" s="37"/>
      <c r="M130" s="30">
        <f t="shared" ref="M130" si="27">K130*L130</f>
        <v>0</v>
      </c>
    </row>
    <row r="131" spans="1:13" x14ac:dyDescent="0.25">
      <c r="H131" s="37"/>
      <c r="K131">
        <f>B130</f>
        <v>0</v>
      </c>
    </row>
    <row r="132" spans="1:13" x14ac:dyDescent="0.25">
      <c r="A132" t="s">
        <v>153</v>
      </c>
      <c r="B132" s="30">
        <f>I132/((100-B133)/100)</f>
        <v>0</v>
      </c>
      <c r="H132" s="37" t="s">
        <v>209</v>
      </c>
      <c r="I132" s="30">
        <f>SUM(I109:I130)</f>
        <v>0</v>
      </c>
      <c r="L132" t="s">
        <v>209</v>
      </c>
      <c r="M132" s="30">
        <f>SUM(M109:M131)</f>
        <v>0</v>
      </c>
    </row>
    <row r="133" spans="1:13" x14ac:dyDescent="0.25">
      <c r="A133" t="s">
        <v>169</v>
      </c>
      <c r="B133">
        <v>0</v>
      </c>
      <c r="H133" s="37"/>
    </row>
    <row r="134" spans="1:13" x14ac:dyDescent="0.25">
      <c r="H134" s="37"/>
    </row>
    <row r="135" spans="1:13" x14ac:dyDescent="0.25">
      <c r="A135" t="s">
        <v>210</v>
      </c>
      <c r="B135" s="30">
        <f>M132/((100-B136)/100)</f>
        <v>0</v>
      </c>
      <c r="H135" s="37"/>
    </row>
    <row r="136" spans="1:13" x14ac:dyDescent="0.25">
      <c r="A136" t="s">
        <v>154</v>
      </c>
      <c r="B136">
        <v>0</v>
      </c>
      <c r="H136" s="37"/>
    </row>
    <row r="139" spans="1:13" x14ac:dyDescent="0.25">
      <c r="A139" s="1" t="s">
        <v>110</v>
      </c>
      <c r="B139" s="1" t="s">
        <v>79</v>
      </c>
      <c r="H139" s="37"/>
    </row>
    <row r="140" spans="1:13" x14ac:dyDescent="0.25">
      <c r="A140" s="1" t="s">
        <v>295</v>
      </c>
      <c r="H140" s="37"/>
    </row>
    <row r="141" spans="1:13" x14ac:dyDescent="0.25">
      <c r="B141" s="1" t="s">
        <v>294</v>
      </c>
      <c r="C141" s="1" t="s">
        <v>125</v>
      </c>
      <c r="G141" s="1" t="s">
        <v>114</v>
      </c>
      <c r="H141" s="37"/>
      <c r="K141" s="1" t="s">
        <v>76</v>
      </c>
    </row>
    <row r="142" spans="1:13" x14ac:dyDescent="0.25">
      <c r="A142" s="41" t="s">
        <v>284</v>
      </c>
      <c r="B142" s="53"/>
      <c r="C142" s="60"/>
      <c r="G142" t="s">
        <v>198</v>
      </c>
      <c r="H142" s="37" t="s">
        <v>126</v>
      </c>
      <c r="I142" t="s">
        <v>155</v>
      </c>
      <c r="K142" t="s">
        <v>198</v>
      </c>
      <c r="L142" t="s">
        <v>126</v>
      </c>
      <c r="M142" t="s">
        <v>155</v>
      </c>
    </row>
    <row r="143" spans="1:13" x14ac:dyDescent="0.25">
      <c r="A143" s="41" t="s">
        <v>197</v>
      </c>
      <c r="B143" s="54"/>
      <c r="C143" s="41" t="s">
        <v>283</v>
      </c>
      <c r="D143" s="25"/>
      <c r="G143">
        <f>B142</f>
        <v>0</v>
      </c>
      <c r="H143" s="37">
        <f>B143</f>
        <v>0</v>
      </c>
      <c r="I143" s="30">
        <f>G143*H143</f>
        <v>0</v>
      </c>
      <c r="K143">
        <f>B142</f>
        <v>0</v>
      </c>
      <c r="L143" s="37">
        <v>49.86</v>
      </c>
      <c r="M143" s="30">
        <f>K143*L143</f>
        <v>0</v>
      </c>
    </row>
    <row r="144" spans="1:13" x14ac:dyDescent="0.25">
      <c r="A144" s="52"/>
      <c r="B144" s="4"/>
      <c r="C144" s="52"/>
      <c r="H144" s="37"/>
      <c r="I144" s="30">
        <f t="shared" ref="I144" si="28">G144*H144</f>
        <v>0</v>
      </c>
      <c r="L144" s="37"/>
      <c r="M144" s="30">
        <f t="shared" ref="M144:M161" si="29">K144*L144</f>
        <v>0</v>
      </c>
    </row>
    <row r="145" spans="1:13" x14ac:dyDescent="0.25">
      <c r="A145" s="41" t="s">
        <v>285</v>
      </c>
      <c r="B145" s="53"/>
      <c r="C145" s="60"/>
      <c r="H145" s="37"/>
      <c r="I145" s="30"/>
      <c r="L145" s="37"/>
      <c r="M145" s="30">
        <f t="shared" si="29"/>
        <v>0</v>
      </c>
    </row>
    <row r="146" spans="1:13" x14ac:dyDescent="0.25">
      <c r="A146" s="41" t="s">
        <v>197</v>
      </c>
      <c r="B146" s="54"/>
      <c r="C146" s="41" t="s">
        <v>286</v>
      </c>
      <c r="D146" s="25"/>
      <c r="G146">
        <f>B145</f>
        <v>0</v>
      </c>
      <c r="H146" s="37">
        <f>B146</f>
        <v>0</v>
      </c>
      <c r="I146" s="30">
        <f t="shared" ref="I146" si="30">G146*H146</f>
        <v>0</v>
      </c>
      <c r="K146">
        <f>B145</f>
        <v>0</v>
      </c>
      <c r="L146" s="37">
        <v>49.86</v>
      </c>
      <c r="M146" s="30">
        <f t="shared" si="29"/>
        <v>0</v>
      </c>
    </row>
    <row r="147" spans="1:13" x14ac:dyDescent="0.25">
      <c r="A147" s="52"/>
      <c r="B147" s="4"/>
      <c r="C147" s="52"/>
      <c r="H147" s="37"/>
      <c r="I147" s="30"/>
      <c r="L147" s="37"/>
      <c r="M147" s="30">
        <f t="shared" si="29"/>
        <v>0</v>
      </c>
    </row>
    <row r="148" spans="1:13" x14ac:dyDescent="0.25">
      <c r="A148" s="41" t="s">
        <v>293</v>
      </c>
      <c r="B148" s="53"/>
      <c r="C148" s="60"/>
      <c r="H148" s="37"/>
      <c r="I148" s="30"/>
      <c r="L148" s="37"/>
      <c r="M148" s="30">
        <f t="shared" si="29"/>
        <v>0</v>
      </c>
    </row>
    <row r="149" spans="1:13" x14ac:dyDescent="0.25">
      <c r="A149" s="41" t="s">
        <v>197</v>
      </c>
      <c r="B149" s="54"/>
      <c r="C149" s="41" t="s">
        <v>280</v>
      </c>
      <c r="G149">
        <f>B148</f>
        <v>0</v>
      </c>
      <c r="H149" s="37">
        <f>B149</f>
        <v>0</v>
      </c>
      <c r="I149" s="30">
        <f t="shared" ref="I149" si="31">G149*H149</f>
        <v>0</v>
      </c>
      <c r="K149">
        <f>B148</f>
        <v>0</v>
      </c>
      <c r="L149" s="37">
        <v>61.38</v>
      </c>
      <c r="M149" s="30">
        <f t="shared" si="29"/>
        <v>0</v>
      </c>
    </row>
    <row r="150" spans="1:13" x14ac:dyDescent="0.25">
      <c r="A150" s="52"/>
      <c r="B150" s="4"/>
      <c r="C150" s="52"/>
      <c r="H150" s="37"/>
      <c r="I150" s="30"/>
      <c r="L150" s="37"/>
      <c r="M150" s="30">
        <f t="shared" si="29"/>
        <v>0</v>
      </c>
    </row>
    <row r="151" spans="1:13" x14ac:dyDescent="0.25">
      <c r="A151" s="41" t="s">
        <v>292</v>
      </c>
      <c r="B151" s="53"/>
      <c r="C151" s="60"/>
      <c r="H151" s="37"/>
      <c r="I151" s="30"/>
      <c r="L151" s="37"/>
      <c r="M151" s="30">
        <f t="shared" si="29"/>
        <v>0</v>
      </c>
    </row>
    <row r="152" spans="1:13" x14ac:dyDescent="0.25">
      <c r="A152" s="41" t="s">
        <v>197</v>
      </c>
      <c r="B152" s="54"/>
      <c r="C152" s="41" t="s">
        <v>282</v>
      </c>
      <c r="G152">
        <f>B151</f>
        <v>0</v>
      </c>
      <c r="H152" s="37">
        <f>B152</f>
        <v>0</v>
      </c>
      <c r="I152" s="30">
        <f t="shared" ref="I152" si="32">G152*H152</f>
        <v>0</v>
      </c>
      <c r="K152">
        <f>B151</f>
        <v>0</v>
      </c>
      <c r="L152" s="37">
        <v>61.38</v>
      </c>
      <c r="M152" s="30">
        <f t="shared" si="29"/>
        <v>0</v>
      </c>
    </row>
    <row r="153" spans="1:13" x14ac:dyDescent="0.25">
      <c r="A153" s="52"/>
      <c r="B153" s="4"/>
      <c r="C153" s="52"/>
      <c r="H153" s="37"/>
      <c r="I153" s="30"/>
      <c r="L153" s="37"/>
      <c r="M153" s="30">
        <f t="shared" si="29"/>
        <v>0</v>
      </c>
    </row>
    <row r="154" spans="1:13" x14ac:dyDescent="0.25">
      <c r="A154" s="41" t="s">
        <v>281</v>
      </c>
      <c r="B154" s="83"/>
      <c r="C154" s="60"/>
      <c r="H154" s="37"/>
      <c r="L154" s="37"/>
      <c r="M154" s="30">
        <f t="shared" si="29"/>
        <v>0</v>
      </c>
    </row>
    <row r="155" spans="1:13" x14ac:dyDescent="0.25">
      <c r="A155" s="41" t="s">
        <v>289</v>
      </c>
      <c r="B155" s="54"/>
      <c r="C155" s="41"/>
      <c r="G155">
        <f>B154</f>
        <v>0</v>
      </c>
      <c r="H155" s="37">
        <f>B155</f>
        <v>0</v>
      </c>
      <c r="I155" s="30">
        <f>G155*H155*1.1</f>
        <v>0</v>
      </c>
      <c r="K155">
        <f>B154</f>
        <v>0</v>
      </c>
      <c r="L155" s="37">
        <v>423</v>
      </c>
      <c r="M155" s="30">
        <f t="shared" si="29"/>
        <v>0</v>
      </c>
    </row>
    <row r="156" spans="1:13" x14ac:dyDescent="0.25">
      <c r="A156" s="52"/>
      <c r="B156" s="37"/>
      <c r="C156" s="52"/>
      <c r="H156" s="37"/>
      <c r="I156" s="30"/>
      <c r="L156" s="37"/>
      <c r="M156" s="30">
        <f t="shared" si="29"/>
        <v>0</v>
      </c>
    </row>
    <row r="157" spans="1:13" x14ac:dyDescent="0.25">
      <c r="A157" s="41" t="s">
        <v>287</v>
      </c>
      <c r="B157" s="80"/>
      <c r="C157" s="60"/>
      <c r="H157" s="37"/>
      <c r="I157" s="30"/>
      <c r="L157" s="37"/>
      <c r="M157" s="30">
        <f t="shared" si="29"/>
        <v>0</v>
      </c>
    </row>
    <row r="158" spans="1:13" x14ac:dyDescent="0.25">
      <c r="A158" s="41" t="s">
        <v>194</v>
      </c>
      <c r="B158" s="82"/>
      <c r="C158" s="41" t="s">
        <v>288</v>
      </c>
      <c r="G158">
        <f>B157</f>
        <v>0</v>
      </c>
      <c r="H158" s="37">
        <f>B158</f>
        <v>0</v>
      </c>
      <c r="I158" s="30">
        <f>G158*H158</f>
        <v>0</v>
      </c>
      <c r="K158">
        <f>B157</f>
        <v>0</v>
      </c>
      <c r="L158" s="37">
        <v>2.5</v>
      </c>
      <c r="M158" s="30">
        <f t="shared" si="29"/>
        <v>0</v>
      </c>
    </row>
    <row r="159" spans="1:13" x14ac:dyDescent="0.25">
      <c r="A159" s="52"/>
      <c r="B159" s="37"/>
      <c r="C159" s="52"/>
      <c r="H159" s="37"/>
      <c r="I159" s="30"/>
      <c r="L159" s="37"/>
      <c r="M159" s="30">
        <f t="shared" si="29"/>
        <v>0</v>
      </c>
    </row>
    <row r="160" spans="1:13" x14ac:dyDescent="0.25">
      <c r="A160" s="41" t="s">
        <v>291</v>
      </c>
      <c r="B160" s="80"/>
      <c r="C160" s="60"/>
      <c r="H160" s="37"/>
      <c r="I160" s="30"/>
      <c r="L160" s="37"/>
      <c r="M160" s="30">
        <f t="shared" si="29"/>
        <v>0</v>
      </c>
    </row>
    <row r="161" spans="1:13" x14ac:dyDescent="0.25">
      <c r="A161" s="41" t="s">
        <v>194</v>
      </c>
      <c r="B161" s="82"/>
      <c r="C161" s="41"/>
      <c r="D161" s="25"/>
      <c r="G161">
        <f>B160</f>
        <v>0</v>
      </c>
      <c r="H161" s="37">
        <f>B161</f>
        <v>0</v>
      </c>
      <c r="I161" s="30">
        <f t="shared" ref="I161" si="33">G161*H161</f>
        <v>0</v>
      </c>
      <c r="K161">
        <f>B160</f>
        <v>0</v>
      </c>
      <c r="L161" s="37">
        <v>2.5</v>
      </c>
      <c r="M161" s="30">
        <f t="shared" si="29"/>
        <v>0</v>
      </c>
    </row>
    <row r="162" spans="1:13" x14ac:dyDescent="0.25">
      <c r="A162" s="52"/>
      <c r="B162" s="37"/>
      <c r="C162" s="52"/>
      <c r="D162" s="25"/>
      <c r="H162" s="37"/>
      <c r="I162" s="30"/>
      <c r="L162" s="37"/>
      <c r="M162" s="30"/>
    </row>
    <row r="163" spans="1:13" x14ac:dyDescent="0.25">
      <c r="A163" s="41" t="s">
        <v>203</v>
      </c>
      <c r="B163" s="55"/>
      <c r="C163" s="41"/>
      <c r="H163" s="37"/>
      <c r="I163" s="30"/>
      <c r="L163" s="37"/>
      <c r="M163" s="30"/>
    </row>
    <row r="164" spans="1:13" x14ac:dyDescent="0.25">
      <c r="H164" s="37">
        <f>B163</f>
        <v>0</v>
      </c>
      <c r="I164" s="30">
        <f>B163</f>
        <v>0</v>
      </c>
      <c r="L164" s="37"/>
      <c r="M164" s="30">
        <f t="shared" ref="M164" si="34">K164*L164</f>
        <v>0</v>
      </c>
    </row>
    <row r="165" spans="1:13" x14ac:dyDescent="0.25">
      <c r="H165" s="37"/>
      <c r="K165">
        <f>B164</f>
        <v>0</v>
      </c>
    </row>
    <row r="166" spans="1:13" x14ac:dyDescent="0.25">
      <c r="A166" t="s">
        <v>153</v>
      </c>
      <c r="B166" s="30">
        <f>I166/((100-B167)/100)</f>
        <v>0</v>
      </c>
      <c r="H166" s="37" t="s">
        <v>209</v>
      </c>
      <c r="I166" s="30">
        <f>SUM(I143:I164)</f>
        <v>0</v>
      </c>
      <c r="L166" t="s">
        <v>209</v>
      </c>
      <c r="M166" s="30">
        <f>SUM(M143:M165)</f>
        <v>0</v>
      </c>
    </row>
    <row r="167" spans="1:13" x14ac:dyDescent="0.25">
      <c r="A167" t="s">
        <v>169</v>
      </c>
      <c r="B167">
        <v>0</v>
      </c>
      <c r="H167" s="37"/>
    </row>
    <row r="168" spans="1:13" x14ac:dyDescent="0.25">
      <c r="H168" s="37"/>
    </row>
    <row r="169" spans="1:13" x14ac:dyDescent="0.25">
      <c r="A169" t="s">
        <v>210</v>
      </c>
      <c r="B169" s="30">
        <f>M166/((100-B170)/100)</f>
        <v>0</v>
      </c>
      <c r="H169" s="37"/>
    </row>
    <row r="170" spans="1:13" x14ac:dyDescent="0.25">
      <c r="A170" t="s">
        <v>154</v>
      </c>
      <c r="B170">
        <v>0</v>
      </c>
      <c r="H170" s="37"/>
    </row>
    <row r="173" spans="1:13" x14ac:dyDescent="0.25">
      <c r="A173" s="1" t="s">
        <v>111</v>
      </c>
      <c r="B173" s="1" t="s">
        <v>79</v>
      </c>
      <c r="H173" s="37"/>
    </row>
    <row r="174" spans="1:13" x14ac:dyDescent="0.25">
      <c r="A174" s="1" t="s">
        <v>295</v>
      </c>
      <c r="H174" s="37"/>
    </row>
    <row r="175" spans="1:13" x14ac:dyDescent="0.25">
      <c r="B175" s="1" t="s">
        <v>294</v>
      </c>
      <c r="C175" s="1" t="s">
        <v>125</v>
      </c>
      <c r="G175" s="1" t="s">
        <v>114</v>
      </c>
      <c r="H175" s="37"/>
      <c r="K175" s="1" t="s">
        <v>76</v>
      </c>
    </row>
    <row r="176" spans="1:13" x14ac:dyDescent="0.25">
      <c r="A176" s="41" t="s">
        <v>284</v>
      </c>
      <c r="B176" s="53"/>
      <c r="C176" s="60"/>
      <c r="G176" t="s">
        <v>198</v>
      </c>
      <c r="H176" s="37" t="s">
        <v>126</v>
      </c>
      <c r="I176" t="s">
        <v>155</v>
      </c>
      <c r="K176" t="s">
        <v>198</v>
      </c>
      <c r="L176" t="s">
        <v>126</v>
      </c>
      <c r="M176" t="s">
        <v>155</v>
      </c>
    </row>
    <row r="177" spans="1:13" x14ac:dyDescent="0.25">
      <c r="A177" s="41" t="s">
        <v>197</v>
      </c>
      <c r="B177" s="54"/>
      <c r="C177" s="41" t="s">
        <v>283</v>
      </c>
      <c r="D177" s="25"/>
      <c r="G177">
        <f>B176</f>
        <v>0</v>
      </c>
      <c r="H177" s="37">
        <f>B177</f>
        <v>0</v>
      </c>
      <c r="I177" s="30">
        <f>G177*H177</f>
        <v>0</v>
      </c>
      <c r="K177">
        <f>B176</f>
        <v>0</v>
      </c>
      <c r="L177" s="37">
        <v>49.86</v>
      </c>
      <c r="M177" s="30">
        <f>K177*L177</f>
        <v>0</v>
      </c>
    </row>
    <row r="178" spans="1:13" x14ac:dyDescent="0.25">
      <c r="A178" s="52"/>
      <c r="B178" s="4"/>
      <c r="C178" s="52"/>
      <c r="H178" s="37"/>
      <c r="I178" s="30">
        <f t="shared" ref="I178" si="35">G178*H178</f>
        <v>0</v>
      </c>
      <c r="L178" s="37"/>
      <c r="M178" s="30">
        <f t="shared" ref="M178:M195" si="36">K178*L178</f>
        <v>0</v>
      </c>
    </row>
    <row r="179" spans="1:13" x14ac:dyDescent="0.25">
      <c r="A179" s="41" t="s">
        <v>285</v>
      </c>
      <c r="B179" s="53"/>
      <c r="C179" s="60"/>
      <c r="H179" s="37"/>
      <c r="I179" s="30"/>
      <c r="L179" s="37"/>
      <c r="M179" s="30">
        <f t="shared" si="36"/>
        <v>0</v>
      </c>
    </row>
    <row r="180" spans="1:13" x14ac:dyDescent="0.25">
      <c r="A180" s="41" t="s">
        <v>197</v>
      </c>
      <c r="B180" s="54"/>
      <c r="C180" s="41" t="s">
        <v>286</v>
      </c>
      <c r="D180" s="25"/>
      <c r="G180">
        <f>B179</f>
        <v>0</v>
      </c>
      <c r="H180" s="37">
        <f>B180</f>
        <v>0</v>
      </c>
      <c r="I180" s="30">
        <f t="shared" ref="I180" si="37">G180*H180</f>
        <v>0</v>
      </c>
      <c r="K180">
        <f>B179</f>
        <v>0</v>
      </c>
      <c r="L180" s="37">
        <v>49.86</v>
      </c>
      <c r="M180" s="30">
        <f t="shared" si="36"/>
        <v>0</v>
      </c>
    </row>
    <row r="181" spans="1:13" x14ac:dyDescent="0.25">
      <c r="A181" s="52"/>
      <c r="B181" s="4"/>
      <c r="C181" s="52"/>
      <c r="H181" s="37"/>
      <c r="I181" s="30"/>
      <c r="L181" s="37"/>
      <c r="M181" s="30">
        <f t="shared" si="36"/>
        <v>0</v>
      </c>
    </row>
    <row r="182" spans="1:13" x14ac:dyDescent="0.25">
      <c r="A182" s="41" t="s">
        <v>293</v>
      </c>
      <c r="B182" s="53"/>
      <c r="C182" s="60"/>
      <c r="H182" s="37"/>
      <c r="I182" s="30"/>
      <c r="L182" s="37"/>
      <c r="M182" s="30">
        <f t="shared" si="36"/>
        <v>0</v>
      </c>
    </row>
    <row r="183" spans="1:13" x14ac:dyDescent="0.25">
      <c r="A183" s="41" t="s">
        <v>197</v>
      </c>
      <c r="B183" s="54"/>
      <c r="C183" s="41" t="s">
        <v>280</v>
      </c>
      <c r="G183">
        <f>B182</f>
        <v>0</v>
      </c>
      <c r="H183" s="37">
        <f>B183</f>
        <v>0</v>
      </c>
      <c r="I183" s="30">
        <f t="shared" ref="I183" si="38">G183*H183</f>
        <v>0</v>
      </c>
      <c r="K183">
        <f>B182</f>
        <v>0</v>
      </c>
      <c r="L183" s="37">
        <v>61.38</v>
      </c>
      <c r="M183" s="30">
        <f t="shared" si="36"/>
        <v>0</v>
      </c>
    </row>
    <row r="184" spans="1:13" x14ac:dyDescent="0.25">
      <c r="A184" s="52"/>
      <c r="B184" s="4"/>
      <c r="C184" s="52"/>
      <c r="H184" s="37"/>
      <c r="I184" s="30"/>
      <c r="L184" s="37"/>
      <c r="M184" s="30">
        <f t="shared" si="36"/>
        <v>0</v>
      </c>
    </row>
    <row r="185" spans="1:13" x14ac:dyDescent="0.25">
      <c r="A185" s="41" t="s">
        <v>292</v>
      </c>
      <c r="B185" s="53"/>
      <c r="C185" s="60"/>
      <c r="H185" s="37"/>
      <c r="I185" s="30"/>
      <c r="L185" s="37"/>
      <c r="M185" s="30">
        <f t="shared" si="36"/>
        <v>0</v>
      </c>
    </row>
    <row r="186" spans="1:13" x14ac:dyDescent="0.25">
      <c r="A186" s="41" t="s">
        <v>197</v>
      </c>
      <c r="B186" s="54"/>
      <c r="C186" s="41" t="s">
        <v>282</v>
      </c>
      <c r="G186">
        <f>B185</f>
        <v>0</v>
      </c>
      <c r="H186" s="37">
        <f>B186</f>
        <v>0</v>
      </c>
      <c r="I186" s="30">
        <f t="shared" ref="I186" si="39">G186*H186</f>
        <v>0</v>
      </c>
      <c r="K186">
        <f>B185</f>
        <v>0</v>
      </c>
      <c r="L186" s="37">
        <v>61.38</v>
      </c>
      <c r="M186" s="30">
        <f t="shared" si="36"/>
        <v>0</v>
      </c>
    </row>
    <row r="187" spans="1:13" x14ac:dyDescent="0.25">
      <c r="A187" s="52"/>
      <c r="B187" s="4"/>
      <c r="C187" s="52"/>
      <c r="H187" s="37"/>
      <c r="I187" s="30"/>
      <c r="L187" s="37"/>
      <c r="M187" s="30">
        <f t="shared" si="36"/>
        <v>0</v>
      </c>
    </row>
    <row r="188" spans="1:13" x14ac:dyDescent="0.25">
      <c r="A188" s="41" t="s">
        <v>281</v>
      </c>
      <c r="B188" s="83"/>
      <c r="C188" s="60"/>
      <c r="H188" s="37"/>
      <c r="L188" s="37"/>
      <c r="M188" s="30">
        <f t="shared" si="36"/>
        <v>0</v>
      </c>
    </row>
    <row r="189" spans="1:13" x14ac:dyDescent="0.25">
      <c r="A189" s="41" t="s">
        <v>289</v>
      </c>
      <c r="B189" s="54"/>
      <c r="C189" s="41"/>
      <c r="G189">
        <f>B188</f>
        <v>0</v>
      </c>
      <c r="H189" s="37">
        <f>B189</f>
        <v>0</v>
      </c>
      <c r="I189" s="30">
        <f>G189*H189*1.1</f>
        <v>0</v>
      </c>
      <c r="K189">
        <f>B188</f>
        <v>0</v>
      </c>
      <c r="L189" s="37">
        <v>423</v>
      </c>
      <c r="M189" s="30">
        <f t="shared" si="36"/>
        <v>0</v>
      </c>
    </row>
    <row r="190" spans="1:13" x14ac:dyDescent="0.25">
      <c r="A190" s="52"/>
      <c r="B190" s="37"/>
      <c r="C190" s="52"/>
      <c r="H190" s="37"/>
      <c r="I190" s="30"/>
      <c r="L190" s="37"/>
      <c r="M190" s="30">
        <f t="shared" si="36"/>
        <v>0</v>
      </c>
    </row>
    <row r="191" spans="1:13" x14ac:dyDescent="0.25">
      <c r="A191" s="41" t="s">
        <v>287</v>
      </c>
      <c r="B191" s="80"/>
      <c r="C191" s="60"/>
      <c r="H191" s="37"/>
      <c r="I191" s="30"/>
      <c r="L191" s="37"/>
      <c r="M191" s="30">
        <f t="shared" si="36"/>
        <v>0</v>
      </c>
    </row>
    <row r="192" spans="1:13" x14ac:dyDescent="0.25">
      <c r="A192" s="41" t="s">
        <v>194</v>
      </c>
      <c r="B192" s="82"/>
      <c r="C192" s="41" t="s">
        <v>288</v>
      </c>
      <c r="G192">
        <f>B191</f>
        <v>0</v>
      </c>
      <c r="H192" s="37">
        <f>B192</f>
        <v>0</v>
      </c>
      <c r="I192" s="30">
        <f>G192*H192</f>
        <v>0</v>
      </c>
      <c r="K192">
        <f>B191</f>
        <v>0</v>
      </c>
      <c r="L192" s="37">
        <v>2.5</v>
      </c>
      <c r="M192" s="30">
        <f t="shared" si="36"/>
        <v>0</v>
      </c>
    </row>
    <row r="193" spans="1:13" x14ac:dyDescent="0.25">
      <c r="A193" s="52"/>
      <c r="B193" s="37"/>
      <c r="C193" s="52"/>
      <c r="H193" s="37"/>
      <c r="I193" s="30"/>
      <c r="L193" s="37"/>
      <c r="M193" s="30">
        <f t="shared" si="36"/>
        <v>0</v>
      </c>
    </row>
    <row r="194" spans="1:13" x14ac:dyDescent="0.25">
      <c r="A194" s="41" t="s">
        <v>291</v>
      </c>
      <c r="B194" s="80"/>
      <c r="C194" s="60"/>
      <c r="H194" s="37"/>
      <c r="I194" s="30"/>
      <c r="L194" s="37"/>
      <c r="M194" s="30">
        <f t="shared" si="36"/>
        <v>0</v>
      </c>
    </row>
    <row r="195" spans="1:13" x14ac:dyDescent="0.25">
      <c r="A195" s="41" t="s">
        <v>194</v>
      </c>
      <c r="B195" s="82"/>
      <c r="C195" s="41"/>
      <c r="D195" s="25"/>
      <c r="G195">
        <f>B194</f>
        <v>0</v>
      </c>
      <c r="H195" s="37">
        <f>B195</f>
        <v>0</v>
      </c>
      <c r="I195" s="30">
        <f t="shared" ref="I195" si="40">G195*H195</f>
        <v>0</v>
      </c>
      <c r="K195">
        <f>B194</f>
        <v>0</v>
      </c>
      <c r="L195" s="37">
        <v>2.5</v>
      </c>
      <c r="M195" s="30">
        <f t="shared" si="36"/>
        <v>0</v>
      </c>
    </row>
    <row r="196" spans="1:13" x14ac:dyDescent="0.25">
      <c r="A196" s="52"/>
      <c r="B196" s="37"/>
      <c r="C196" s="52"/>
      <c r="D196" s="25"/>
      <c r="H196" s="37"/>
      <c r="I196" s="30"/>
      <c r="L196" s="37"/>
      <c r="M196" s="30"/>
    </row>
    <row r="197" spans="1:13" x14ac:dyDescent="0.25">
      <c r="A197" s="41" t="s">
        <v>203</v>
      </c>
      <c r="B197" s="55"/>
      <c r="C197" s="41"/>
      <c r="H197" s="37"/>
      <c r="I197" s="30"/>
      <c r="L197" s="37"/>
      <c r="M197" s="30"/>
    </row>
    <row r="198" spans="1:13" x14ac:dyDescent="0.25">
      <c r="H198" s="37">
        <f>B197</f>
        <v>0</v>
      </c>
      <c r="I198" s="30">
        <f>B197</f>
        <v>0</v>
      </c>
      <c r="L198" s="37"/>
      <c r="M198" s="30">
        <f t="shared" ref="M198" si="41">K198*L198</f>
        <v>0</v>
      </c>
    </row>
    <row r="199" spans="1:13" x14ac:dyDescent="0.25">
      <c r="H199" s="37"/>
      <c r="K199">
        <f>B198</f>
        <v>0</v>
      </c>
    </row>
    <row r="200" spans="1:13" x14ac:dyDescent="0.25">
      <c r="A200" t="s">
        <v>153</v>
      </c>
      <c r="B200" s="30">
        <f>I200/((100-B201)/100)</f>
        <v>0</v>
      </c>
      <c r="H200" s="37" t="s">
        <v>209</v>
      </c>
      <c r="I200" s="30">
        <f>SUM(I177:I198)</f>
        <v>0</v>
      </c>
      <c r="L200" t="s">
        <v>209</v>
      </c>
      <c r="M200" s="30">
        <f>SUM(M177:M199)</f>
        <v>0</v>
      </c>
    </row>
    <row r="201" spans="1:13" x14ac:dyDescent="0.25">
      <c r="A201" t="s">
        <v>169</v>
      </c>
      <c r="B201">
        <v>0</v>
      </c>
      <c r="H201" s="37"/>
    </row>
    <row r="202" spans="1:13" x14ac:dyDescent="0.25">
      <c r="H202" s="37"/>
    </row>
    <row r="203" spans="1:13" x14ac:dyDescent="0.25">
      <c r="A203" t="s">
        <v>210</v>
      </c>
      <c r="B203" s="30">
        <f>M200/((100-B204)/100)</f>
        <v>0</v>
      </c>
      <c r="H203" s="37"/>
    </row>
    <row r="204" spans="1:13" x14ac:dyDescent="0.25">
      <c r="A204" t="s">
        <v>154</v>
      </c>
      <c r="B204">
        <v>0</v>
      </c>
      <c r="H204" s="37"/>
    </row>
    <row r="207" spans="1:13" x14ac:dyDescent="0.25">
      <c r="A207" s="1" t="s">
        <v>112</v>
      </c>
      <c r="B207" s="1" t="s">
        <v>79</v>
      </c>
      <c r="H207" s="37"/>
    </row>
    <row r="208" spans="1:13" x14ac:dyDescent="0.25">
      <c r="A208" s="1" t="s">
        <v>295</v>
      </c>
      <c r="H208" s="37"/>
    </row>
    <row r="209" spans="1:13" x14ac:dyDescent="0.25">
      <c r="B209" s="1" t="s">
        <v>294</v>
      </c>
      <c r="C209" s="1" t="s">
        <v>125</v>
      </c>
      <c r="G209" s="1" t="s">
        <v>114</v>
      </c>
      <c r="H209" s="37"/>
      <c r="K209" s="1" t="s">
        <v>76</v>
      </c>
    </row>
    <row r="210" spans="1:13" x14ac:dyDescent="0.25">
      <c r="A210" s="41" t="s">
        <v>284</v>
      </c>
      <c r="B210" s="53"/>
      <c r="C210" s="60"/>
      <c r="G210" t="s">
        <v>198</v>
      </c>
      <c r="H210" s="37" t="s">
        <v>126</v>
      </c>
      <c r="I210" t="s">
        <v>155</v>
      </c>
      <c r="K210" t="s">
        <v>198</v>
      </c>
      <c r="L210" t="s">
        <v>126</v>
      </c>
      <c r="M210" t="s">
        <v>155</v>
      </c>
    </row>
    <row r="211" spans="1:13" x14ac:dyDescent="0.25">
      <c r="A211" s="41" t="s">
        <v>197</v>
      </c>
      <c r="B211" s="54"/>
      <c r="C211" s="41" t="s">
        <v>283</v>
      </c>
      <c r="D211" s="25"/>
      <c r="G211">
        <f>B210</f>
        <v>0</v>
      </c>
      <c r="H211" s="37">
        <f>B211</f>
        <v>0</v>
      </c>
      <c r="I211" s="30">
        <f>G211*H211</f>
        <v>0</v>
      </c>
      <c r="K211">
        <f>B210</f>
        <v>0</v>
      </c>
      <c r="L211" s="37">
        <v>49.86</v>
      </c>
      <c r="M211" s="30">
        <f>K211*L211</f>
        <v>0</v>
      </c>
    </row>
    <row r="212" spans="1:13" x14ac:dyDescent="0.25">
      <c r="A212" s="52"/>
      <c r="B212" s="4"/>
      <c r="C212" s="52"/>
      <c r="H212" s="37"/>
      <c r="I212" s="30">
        <f t="shared" ref="I212" si="42">G212*H212</f>
        <v>0</v>
      </c>
      <c r="L212" s="37"/>
      <c r="M212" s="30">
        <f t="shared" ref="M212:M229" si="43">K212*L212</f>
        <v>0</v>
      </c>
    </row>
    <row r="213" spans="1:13" x14ac:dyDescent="0.25">
      <c r="A213" s="41" t="s">
        <v>285</v>
      </c>
      <c r="B213" s="53"/>
      <c r="C213" s="60"/>
      <c r="H213" s="37"/>
      <c r="I213" s="30"/>
      <c r="L213" s="37"/>
      <c r="M213" s="30">
        <f t="shared" si="43"/>
        <v>0</v>
      </c>
    </row>
    <row r="214" spans="1:13" x14ac:dyDescent="0.25">
      <c r="A214" s="41" t="s">
        <v>197</v>
      </c>
      <c r="B214" s="54"/>
      <c r="C214" s="41" t="s">
        <v>286</v>
      </c>
      <c r="D214" s="25"/>
      <c r="G214">
        <f>B213</f>
        <v>0</v>
      </c>
      <c r="H214" s="37">
        <f>B214</f>
        <v>0</v>
      </c>
      <c r="I214" s="30">
        <f t="shared" ref="I214" si="44">G214*H214</f>
        <v>0</v>
      </c>
      <c r="K214">
        <f>B213</f>
        <v>0</v>
      </c>
      <c r="L214" s="37">
        <v>49.86</v>
      </c>
      <c r="M214" s="30">
        <f t="shared" si="43"/>
        <v>0</v>
      </c>
    </row>
    <row r="215" spans="1:13" x14ac:dyDescent="0.25">
      <c r="A215" s="52"/>
      <c r="B215" s="4"/>
      <c r="C215" s="52"/>
      <c r="H215" s="37"/>
      <c r="I215" s="30"/>
      <c r="L215" s="37"/>
      <c r="M215" s="30">
        <f t="shared" si="43"/>
        <v>0</v>
      </c>
    </row>
    <row r="216" spans="1:13" x14ac:dyDescent="0.25">
      <c r="A216" s="41" t="s">
        <v>293</v>
      </c>
      <c r="B216" s="53"/>
      <c r="C216" s="60"/>
      <c r="H216" s="37"/>
      <c r="I216" s="30"/>
      <c r="L216" s="37"/>
      <c r="M216" s="30">
        <f t="shared" si="43"/>
        <v>0</v>
      </c>
    </row>
    <row r="217" spans="1:13" x14ac:dyDescent="0.25">
      <c r="A217" s="41" t="s">
        <v>197</v>
      </c>
      <c r="B217" s="54"/>
      <c r="C217" s="41" t="s">
        <v>280</v>
      </c>
      <c r="G217">
        <f>B216</f>
        <v>0</v>
      </c>
      <c r="H217" s="37">
        <f>B217</f>
        <v>0</v>
      </c>
      <c r="I217" s="30">
        <f t="shared" ref="I217" si="45">G217*H217</f>
        <v>0</v>
      </c>
      <c r="K217">
        <f>B216</f>
        <v>0</v>
      </c>
      <c r="L217" s="37">
        <v>61.38</v>
      </c>
      <c r="M217" s="30">
        <f t="shared" si="43"/>
        <v>0</v>
      </c>
    </row>
    <row r="218" spans="1:13" x14ac:dyDescent="0.25">
      <c r="A218" s="52"/>
      <c r="B218" s="4"/>
      <c r="C218" s="52"/>
      <c r="H218" s="37"/>
      <c r="I218" s="30"/>
      <c r="L218" s="37"/>
      <c r="M218" s="30">
        <f t="shared" si="43"/>
        <v>0</v>
      </c>
    </row>
    <row r="219" spans="1:13" x14ac:dyDescent="0.25">
      <c r="A219" s="41" t="s">
        <v>292</v>
      </c>
      <c r="B219" s="53"/>
      <c r="C219" s="60"/>
      <c r="H219" s="37"/>
      <c r="I219" s="30"/>
      <c r="L219" s="37"/>
      <c r="M219" s="30">
        <f t="shared" si="43"/>
        <v>0</v>
      </c>
    </row>
    <row r="220" spans="1:13" x14ac:dyDescent="0.25">
      <c r="A220" s="41" t="s">
        <v>197</v>
      </c>
      <c r="B220" s="54"/>
      <c r="C220" s="41" t="s">
        <v>282</v>
      </c>
      <c r="G220">
        <f>B219</f>
        <v>0</v>
      </c>
      <c r="H220" s="37">
        <f>B220</f>
        <v>0</v>
      </c>
      <c r="I220" s="30">
        <f t="shared" ref="I220" si="46">G220*H220</f>
        <v>0</v>
      </c>
      <c r="K220">
        <f>B219</f>
        <v>0</v>
      </c>
      <c r="L220" s="37">
        <v>61.38</v>
      </c>
      <c r="M220" s="30">
        <f t="shared" si="43"/>
        <v>0</v>
      </c>
    </row>
    <row r="221" spans="1:13" x14ac:dyDescent="0.25">
      <c r="A221" s="52"/>
      <c r="B221" s="4"/>
      <c r="C221" s="52"/>
      <c r="H221" s="37"/>
      <c r="I221" s="30"/>
      <c r="L221" s="37"/>
      <c r="M221" s="30">
        <f t="shared" si="43"/>
        <v>0</v>
      </c>
    </row>
    <row r="222" spans="1:13" x14ac:dyDescent="0.25">
      <c r="A222" s="41" t="s">
        <v>281</v>
      </c>
      <c r="B222" s="83"/>
      <c r="C222" s="60"/>
      <c r="H222" s="37"/>
      <c r="L222" s="37"/>
      <c r="M222" s="30">
        <f t="shared" si="43"/>
        <v>0</v>
      </c>
    </row>
    <row r="223" spans="1:13" x14ac:dyDescent="0.25">
      <c r="A223" s="41" t="s">
        <v>289</v>
      </c>
      <c r="B223" s="54"/>
      <c r="C223" s="41"/>
      <c r="G223">
        <f>B222</f>
        <v>0</v>
      </c>
      <c r="H223" s="37">
        <f>B223</f>
        <v>0</v>
      </c>
      <c r="I223" s="30">
        <f>G223*H223*1.1</f>
        <v>0</v>
      </c>
      <c r="K223">
        <f>B222</f>
        <v>0</v>
      </c>
      <c r="L223" s="37">
        <v>423</v>
      </c>
      <c r="M223" s="30">
        <f t="shared" si="43"/>
        <v>0</v>
      </c>
    </row>
    <row r="224" spans="1:13" x14ac:dyDescent="0.25">
      <c r="A224" s="52"/>
      <c r="B224" s="37"/>
      <c r="C224" s="52"/>
      <c r="H224" s="37"/>
      <c r="I224" s="30"/>
      <c r="L224" s="37"/>
      <c r="M224" s="30">
        <f t="shared" si="43"/>
        <v>0</v>
      </c>
    </row>
    <row r="225" spans="1:13" x14ac:dyDescent="0.25">
      <c r="A225" s="41" t="s">
        <v>287</v>
      </c>
      <c r="B225" s="80"/>
      <c r="C225" s="60"/>
      <c r="H225" s="37"/>
      <c r="I225" s="30"/>
      <c r="L225" s="37"/>
      <c r="M225" s="30">
        <f t="shared" si="43"/>
        <v>0</v>
      </c>
    </row>
    <row r="226" spans="1:13" x14ac:dyDescent="0.25">
      <c r="A226" s="41" t="s">
        <v>194</v>
      </c>
      <c r="B226" s="82"/>
      <c r="C226" s="41" t="s">
        <v>288</v>
      </c>
      <c r="G226">
        <f>B225</f>
        <v>0</v>
      </c>
      <c r="H226" s="37">
        <f>B226</f>
        <v>0</v>
      </c>
      <c r="I226" s="30">
        <f>G226*H226</f>
        <v>0</v>
      </c>
      <c r="K226">
        <f>B225</f>
        <v>0</v>
      </c>
      <c r="L226" s="37">
        <v>2.5</v>
      </c>
      <c r="M226" s="30">
        <f t="shared" si="43"/>
        <v>0</v>
      </c>
    </row>
    <row r="227" spans="1:13" x14ac:dyDescent="0.25">
      <c r="A227" s="52"/>
      <c r="B227" s="37"/>
      <c r="C227" s="52"/>
      <c r="H227" s="37"/>
      <c r="I227" s="30"/>
      <c r="L227" s="37"/>
      <c r="M227" s="30">
        <f t="shared" si="43"/>
        <v>0</v>
      </c>
    </row>
    <row r="228" spans="1:13" x14ac:dyDescent="0.25">
      <c r="A228" s="41" t="s">
        <v>291</v>
      </c>
      <c r="B228" s="80"/>
      <c r="C228" s="60"/>
      <c r="H228" s="37"/>
      <c r="I228" s="30"/>
      <c r="L228" s="37"/>
      <c r="M228" s="30">
        <f t="shared" si="43"/>
        <v>0</v>
      </c>
    </row>
    <row r="229" spans="1:13" x14ac:dyDescent="0.25">
      <c r="A229" s="41" t="s">
        <v>194</v>
      </c>
      <c r="B229" s="82"/>
      <c r="C229" s="41"/>
      <c r="D229" s="25"/>
      <c r="G229">
        <f>B228</f>
        <v>0</v>
      </c>
      <c r="H229" s="37">
        <f>B229</f>
        <v>0</v>
      </c>
      <c r="I229" s="30">
        <f t="shared" ref="I229" si="47">G229*H229</f>
        <v>0</v>
      </c>
      <c r="K229">
        <f>B228</f>
        <v>0</v>
      </c>
      <c r="L229" s="37">
        <v>2.5</v>
      </c>
      <c r="M229" s="30">
        <f t="shared" si="43"/>
        <v>0</v>
      </c>
    </row>
    <row r="230" spans="1:13" x14ac:dyDescent="0.25">
      <c r="A230" s="52"/>
      <c r="B230" s="37"/>
      <c r="C230" s="52"/>
      <c r="D230" s="25"/>
      <c r="H230" s="37"/>
      <c r="I230" s="30"/>
      <c r="L230" s="37"/>
      <c r="M230" s="30"/>
    </row>
    <row r="231" spans="1:13" x14ac:dyDescent="0.25">
      <c r="A231" s="41" t="s">
        <v>203</v>
      </c>
      <c r="B231" s="55"/>
      <c r="C231" s="41"/>
      <c r="H231" s="37"/>
      <c r="I231" s="30"/>
      <c r="L231" s="37"/>
      <c r="M231" s="30"/>
    </row>
    <row r="232" spans="1:13" x14ac:dyDescent="0.25">
      <c r="H232" s="37">
        <f>B231</f>
        <v>0</v>
      </c>
      <c r="I232" s="30">
        <f>B231</f>
        <v>0</v>
      </c>
      <c r="L232" s="37"/>
      <c r="M232" s="30">
        <f t="shared" ref="M232" si="48">K232*L232</f>
        <v>0</v>
      </c>
    </row>
    <row r="233" spans="1:13" x14ac:dyDescent="0.25">
      <c r="H233" s="37"/>
      <c r="K233">
        <f>B232</f>
        <v>0</v>
      </c>
    </row>
    <row r="234" spans="1:13" x14ac:dyDescent="0.25">
      <c r="A234" t="s">
        <v>153</v>
      </c>
      <c r="B234" s="30">
        <f>I234/((100-B235)/100)</f>
        <v>0</v>
      </c>
      <c r="H234" s="37" t="s">
        <v>209</v>
      </c>
      <c r="I234" s="30">
        <f>SUM(I211:I232)</f>
        <v>0</v>
      </c>
      <c r="L234" t="s">
        <v>209</v>
      </c>
      <c r="M234" s="30">
        <f>SUM(M211:M233)</f>
        <v>0</v>
      </c>
    </row>
    <row r="235" spans="1:13" x14ac:dyDescent="0.25">
      <c r="A235" t="s">
        <v>169</v>
      </c>
      <c r="B235">
        <v>0</v>
      </c>
      <c r="H235" s="37"/>
    </row>
    <row r="236" spans="1:13" x14ac:dyDescent="0.25">
      <c r="H236" s="37"/>
    </row>
    <row r="237" spans="1:13" x14ac:dyDescent="0.25">
      <c r="A237" t="s">
        <v>210</v>
      </c>
      <c r="B237" s="30">
        <f>M234/((100-B238)/100)</f>
        <v>0</v>
      </c>
      <c r="H237" s="37"/>
    </row>
    <row r="238" spans="1:13" x14ac:dyDescent="0.25">
      <c r="A238" t="s">
        <v>154</v>
      </c>
      <c r="B238">
        <v>0</v>
      </c>
      <c r="H238" s="37"/>
    </row>
    <row r="241" spans="1:13" x14ac:dyDescent="0.25">
      <c r="A241" s="1" t="s">
        <v>113</v>
      </c>
      <c r="B241" s="1" t="s">
        <v>79</v>
      </c>
      <c r="H241" s="37"/>
    </row>
    <row r="242" spans="1:13" x14ac:dyDescent="0.25">
      <c r="A242" s="1" t="s">
        <v>295</v>
      </c>
      <c r="H242" s="37"/>
    </row>
    <row r="243" spans="1:13" x14ac:dyDescent="0.25">
      <c r="B243" s="1" t="s">
        <v>294</v>
      </c>
      <c r="C243" s="1" t="s">
        <v>125</v>
      </c>
      <c r="G243" s="1" t="s">
        <v>114</v>
      </c>
      <c r="H243" s="37"/>
      <c r="K243" s="1" t="s">
        <v>76</v>
      </c>
    </row>
    <row r="244" spans="1:13" x14ac:dyDescent="0.25">
      <c r="A244" s="41" t="s">
        <v>284</v>
      </c>
      <c r="B244" s="53"/>
      <c r="C244" s="60"/>
      <c r="G244" t="s">
        <v>198</v>
      </c>
      <c r="H244" s="37" t="s">
        <v>126</v>
      </c>
      <c r="I244" t="s">
        <v>155</v>
      </c>
      <c r="K244" t="s">
        <v>198</v>
      </c>
      <c r="L244" t="s">
        <v>126</v>
      </c>
      <c r="M244" t="s">
        <v>155</v>
      </c>
    </row>
    <row r="245" spans="1:13" x14ac:dyDescent="0.25">
      <c r="A245" s="41" t="s">
        <v>197</v>
      </c>
      <c r="B245" s="54"/>
      <c r="C245" s="41" t="s">
        <v>283</v>
      </c>
      <c r="D245" s="25"/>
      <c r="G245">
        <f>B244</f>
        <v>0</v>
      </c>
      <c r="H245" s="37">
        <f>B245</f>
        <v>0</v>
      </c>
      <c r="I245" s="30">
        <f>G245*H245</f>
        <v>0</v>
      </c>
      <c r="K245">
        <f>B244</f>
        <v>0</v>
      </c>
      <c r="L245" s="37">
        <v>49.86</v>
      </c>
      <c r="M245" s="30">
        <f>K245*L245</f>
        <v>0</v>
      </c>
    </row>
    <row r="246" spans="1:13" x14ac:dyDescent="0.25">
      <c r="A246" s="52"/>
      <c r="B246" s="4"/>
      <c r="C246" s="52"/>
      <c r="H246" s="37"/>
      <c r="I246" s="30">
        <f t="shared" ref="I246" si="49">G246*H246</f>
        <v>0</v>
      </c>
      <c r="L246" s="37"/>
      <c r="M246" s="30">
        <f t="shared" ref="M246:M263" si="50">K246*L246</f>
        <v>0</v>
      </c>
    </row>
    <row r="247" spans="1:13" x14ac:dyDescent="0.25">
      <c r="A247" s="41" t="s">
        <v>285</v>
      </c>
      <c r="B247" s="53"/>
      <c r="C247" s="60"/>
      <c r="H247" s="37"/>
      <c r="I247" s="30"/>
      <c r="L247" s="37"/>
      <c r="M247" s="30">
        <f t="shared" si="50"/>
        <v>0</v>
      </c>
    </row>
    <row r="248" spans="1:13" x14ac:dyDescent="0.25">
      <c r="A248" s="41" t="s">
        <v>197</v>
      </c>
      <c r="B248" s="54"/>
      <c r="C248" s="41" t="s">
        <v>286</v>
      </c>
      <c r="D248" s="25"/>
      <c r="G248">
        <f>B247</f>
        <v>0</v>
      </c>
      <c r="H248" s="37">
        <f>B248</f>
        <v>0</v>
      </c>
      <c r="I248" s="30">
        <f t="shared" ref="I248" si="51">G248*H248</f>
        <v>0</v>
      </c>
      <c r="K248">
        <f>B247</f>
        <v>0</v>
      </c>
      <c r="L248" s="37">
        <v>49.86</v>
      </c>
      <c r="M248" s="30">
        <f t="shared" si="50"/>
        <v>0</v>
      </c>
    </row>
    <row r="249" spans="1:13" x14ac:dyDescent="0.25">
      <c r="A249" s="52"/>
      <c r="B249" s="4"/>
      <c r="C249" s="52"/>
      <c r="H249" s="37"/>
      <c r="I249" s="30"/>
      <c r="L249" s="37"/>
      <c r="M249" s="30">
        <f t="shared" si="50"/>
        <v>0</v>
      </c>
    </row>
    <row r="250" spans="1:13" x14ac:dyDescent="0.25">
      <c r="A250" s="41" t="s">
        <v>293</v>
      </c>
      <c r="B250" s="53"/>
      <c r="C250" s="60"/>
      <c r="H250" s="37"/>
      <c r="I250" s="30"/>
      <c r="L250" s="37"/>
      <c r="M250" s="30">
        <f t="shared" si="50"/>
        <v>0</v>
      </c>
    </row>
    <row r="251" spans="1:13" x14ac:dyDescent="0.25">
      <c r="A251" s="41" t="s">
        <v>197</v>
      </c>
      <c r="B251" s="54"/>
      <c r="C251" s="41" t="s">
        <v>280</v>
      </c>
      <c r="G251">
        <f>B250</f>
        <v>0</v>
      </c>
      <c r="H251" s="37">
        <f>B251</f>
        <v>0</v>
      </c>
      <c r="I251" s="30">
        <f t="shared" ref="I251" si="52">G251*H251</f>
        <v>0</v>
      </c>
      <c r="K251">
        <f>B250</f>
        <v>0</v>
      </c>
      <c r="L251" s="37">
        <v>61.38</v>
      </c>
      <c r="M251" s="30">
        <f t="shared" si="50"/>
        <v>0</v>
      </c>
    </row>
    <row r="252" spans="1:13" x14ac:dyDescent="0.25">
      <c r="A252" s="52"/>
      <c r="B252" s="4"/>
      <c r="C252" s="52"/>
      <c r="H252" s="37"/>
      <c r="I252" s="30"/>
      <c r="L252" s="37"/>
      <c r="M252" s="30">
        <f t="shared" si="50"/>
        <v>0</v>
      </c>
    </row>
    <row r="253" spans="1:13" x14ac:dyDescent="0.25">
      <c r="A253" s="41" t="s">
        <v>292</v>
      </c>
      <c r="B253" s="53"/>
      <c r="C253" s="60"/>
      <c r="H253" s="37"/>
      <c r="I253" s="30"/>
      <c r="L253" s="37"/>
      <c r="M253" s="30">
        <f t="shared" si="50"/>
        <v>0</v>
      </c>
    </row>
    <row r="254" spans="1:13" x14ac:dyDescent="0.25">
      <c r="A254" s="41" t="s">
        <v>197</v>
      </c>
      <c r="B254" s="54"/>
      <c r="C254" s="41" t="s">
        <v>282</v>
      </c>
      <c r="G254">
        <f>B253</f>
        <v>0</v>
      </c>
      <c r="H254" s="37">
        <f>B254</f>
        <v>0</v>
      </c>
      <c r="I254" s="30">
        <f t="shared" ref="I254" si="53">G254*H254</f>
        <v>0</v>
      </c>
      <c r="K254">
        <f>B253</f>
        <v>0</v>
      </c>
      <c r="L254" s="37">
        <v>61.38</v>
      </c>
      <c r="M254" s="30">
        <f t="shared" si="50"/>
        <v>0</v>
      </c>
    </row>
    <row r="255" spans="1:13" x14ac:dyDescent="0.25">
      <c r="A255" s="52"/>
      <c r="B255" s="4"/>
      <c r="C255" s="52"/>
      <c r="H255" s="37"/>
      <c r="I255" s="30"/>
      <c r="L255" s="37"/>
      <c r="M255" s="30">
        <f t="shared" si="50"/>
        <v>0</v>
      </c>
    </row>
    <row r="256" spans="1:13" x14ac:dyDescent="0.25">
      <c r="A256" s="41" t="s">
        <v>281</v>
      </c>
      <c r="B256" s="83"/>
      <c r="C256" s="60"/>
      <c r="H256" s="37"/>
      <c r="L256" s="37"/>
      <c r="M256" s="30">
        <f t="shared" si="50"/>
        <v>0</v>
      </c>
    </row>
    <row r="257" spans="1:13" x14ac:dyDescent="0.25">
      <c r="A257" s="41" t="s">
        <v>289</v>
      </c>
      <c r="B257" s="54"/>
      <c r="C257" s="41"/>
      <c r="G257">
        <f>B256</f>
        <v>0</v>
      </c>
      <c r="H257" s="37">
        <f>B257</f>
        <v>0</v>
      </c>
      <c r="I257" s="30">
        <f>G257*H257*1.1</f>
        <v>0</v>
      </c>
      <c r="K257">
        <f>B256</f>
        <v>0</v>
      </c>
      <c r="L257" s="37">
        <v>423</v>
      </c>
      <c r="M257" s="30">
        <f t="shared" si="50"/>
        <v>0</v>
      </c>
    </row>
    <row r="258" spans="1:13" x14ac:dyDescent="0.25">
      <c r="A258" s="52"/>
      <c r="B258" s="37"/>
      <c r="C258" s="52"/>
      <c r="H258" s="37"/>
      <c r="I258" s="30"/>
      <c r="L258" s="37"/>
      <c r="M258" s="30">
        <f t="shared" si="50"/>
        <v>0</v>
      </c>
    </row>
    <row r="259" spans="1:13" x14ac:dyDescent="0.25">
      <c r="A259" s="41" t="s">
        <v>287</v>
      </c>
      <c r="B259" s="80"/>
      <c r="C259" s="60"/>
      <c r="H259" s="37"/>
      <c r="I259" s="30"/>
      <c r="L259" s="37"/>
      <c r="M259" s="30">
        <f t="shared" si="50"/>
        <v>0</v>
      </c>
    </row>
    <row r="260" spans="1:13" x14ac:dyDescent="0.25">
      <c r="A260" s="41" t="s">
        <v>194</v>
      </c>
      <c r="B260" s="82"/>
      <c r="C260" s="41" t="s">
        <v>288</v>
      </c>
      <c r="G260">
        <f>B259</f>
        <v>0</v>
      </c>
      <c r="H260" s="37">
        <f>B260</f>
        <v>0</v>
      </c>
      <c r="I260" s="30">
        <f>G260*H260</f>
        <v>0</v>
      </c>
      <c r="K260">
        <f>B259</f>
        <v>0</v>
      </c>
      <c r="L260" s="37">
        <v>2.5</v>
      </c>
      <c r="M260" s="30">
        <f t="shared" si="50"/>
        <v>0</v>
      </c>
    </row>
    <row r="261" spans="1:13" x14ac:dyDescent="0.25">
      <c r="A261" s="52"/>
      <c r="B261" s="37"/>
      <c r="C261" s="52"/>
      <c r="H261" s="37"/>
      <c r="I261" s="30"/>
      <c r="L261" s="37"/>
      <c r="M261" s="30">
        <f t="shared" si="50"/>
        <v>0</v>
      </c>
    </row>
    <row r="262" spans="1:13" x14ac:dyDescent="0.25">
      <c r="A262" s="41" t="s">
        <v>291</v>
      </c>
      <c r="B262" s="80"/>
      <c r="C262" s="60"/>
      <c r="H262" s="37"/>
      <c r="I262" s="30"/>
      <c r="L262" s="37"/>
      <c r="M262" s="30">
        <f t="shared" si="50"/>
        <v>0</v>
      </c>
    </row>
    <row r="263" spans="1:13" x14ac:dyDescent="0.25">
      <c r="A263" s="41" t="s">
        <v>194</v>
      </c>
      <c r="B263" s="82"/>
      <c r="C263" s="41"/>
      <c r="D263" s="25"/>
      <c r="G263">
        <f>B262</f>
        <v>0</v>
      </c>
      <c r="H263" s="37">
        <f>B263</f>
        <v>0</v>
      </c>
      <c r="I263" s="30">
        <f t="shared" ref="I263" si="54">G263*H263</f>
        <v>0</v>
      </c>
      <c r="K263">
        <f>B262</f>
        <v>0</v>
      </c>
      <c r="L263" s="37">
        <v>2.5</v>
      </c>
      <c r="M263" s="30">
        <f t="shared" si="50"/>
        <v>0</v>
      </c>
    </row>
    <row r="264" spans="1:13" x14ac:dyDescent="0.25">
      <c r="A264" s="52"/>
      <c r="B264" s="37"/>
      <c r="C264" s="52"/>
      <c r="D264" s="25"/>
      <c r="H264" s="37"/>
      <c r="I264" s="30"/>
      <c r="L264" s="37"/>
      <c r="M264" s="30"/>
    </row>
    <row r="265" spans="1:13" x14ac:dyDescent="0.25">
      <c r="A265" s="41" t="s">
        <v>203</v>
      </c>
      <c r="B265" s="55"/>
      <c r="C265" s="41"/>
      <c r="H265" s="37"/>
      <c r="I265" s="30"/>
      <c r="L265" s="37"/>
      <c r="M265" s="30"/>
    </row>
    <row r="266" spans="1:13" x14ac:dyDescent="0.25">
      <c r="H266" s="37">
        <f>B265</f>
        <v>0</v>
      </c>
      <c r="I266" s="30">
        <f>B265</f>
        <v>0</v>
      </c>
      <c r="L266" s="37"/>
      <c r="M266" s="30">
        <f t="shared" ref="M266" si="55">K266*L266</f>
        <v>0</v>
      </c>
    </row>
    <row r="267" spans="1:13" x14ac:dyDescent="0.25">
      <c r="H267" s="37"/>
      <c r="K267">
        <f>B266</f>
        <v>0</v>
      </c>
    </row>
    <row r="268" spans="1:13" x14ac:dyDescent="0.25">
      <c r="A268" t="s">
        <v>153</v>
      </c>
      <c r="B268" s="30">
        <f>I268/((100-B269)/100)</f>
        <v>0</v>
      </c>
      <c r="H268" s="37" t="s">
        <v>209</v>
      </c>
      <c r="I268" s="30">
        <f>SUM(I245:I266)</f>
        <v>0</v>
      </c>
      <c r="L268" t="s">
        <v>209</v>
      </c>
      <c r="M268" s="30">
        <f>SUM(M245:M267)</f>
        <v>0</v>
      </c>
    </row>
    <row r="269" spans="1:13" x14ac:dyDescent="0.25">
      <c r="A269" t="s">
        <v>169</v>
      </c>
      <c r="B269">
        <v>0</v>
      </c>
      <c r="H269" s="37"/>
    </row>
    <row r="270" spans="1:13" x14ac:dyDescent="0.25">
      <c r="H270" s="37"/>
    </row>
    <row r="271" spans="1:13" x14ac:dyDescent="0.25">
      <c r="A271" t="s">
        <v>210</v>
      </c>
      <c r="B271" s="30">
        <f>M268/((100-B272)/100)</f>
        <v>0</v>
      </c>
      <c r="H271" s="37"/>
    </row>
    <row r="272" spans="1:13" x14ac:dyDescent="0.25">
      <c r="A272" t="s">
        <v>154</v>
      </c>
      <c r="B272">
        <v>0</v>
      </c>
      <c r="H272" s="37"/>
    </row>
  </sheetData>
  <autoFilter ref="B1:B272" xr:uid="{7CED64DE-C594-4206-9006-272ECA9261A3}"/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9037-C467-490E-B06E-8307D3B81C7E}">
  <dimension ref="A1:I79"/>
  <sheetViews>
    <sheetView workbookViewId="0">
      <selection activeCell="C16" sqref="C16"/>
    </sheetView>
  </sheetViews>
  <sheetFormatPr defaultColWidth="8.85546875" defaultRowHeight="15" x14ac:dyDescent="0.25"/>
  <cols>
    <col min="2" max="2" width="42.85546875" customWidth="1"/>
    <col min="3" max="3" width="20.85546875" customWidth="1"/>
    <col min="4" max="4" width="26.85546875" style="4" customWidth="1"/>
    <col min="5" max="5" width="17.140625" style="4" customWidth="1"/>
    <col min="9" max="9" width="10.85546875" bestFit="1" customWidth="1"/>
  </cols>
  <sheetData>
    <row r="1" spans="1:9" x14ac:dyDescent="0.25">
      <c r="A1" s="69" t="s">
        <v>491</v>
      </c>
    </row>
    <row r="2" spans="1:9" x14ac:dyDescent="0.25">
      <c r="A2" s="4"/>
    </row>
    <row r="3" spans="1:9" x14ac:dyDescent="0.25">
      <c r="A3" s="13" t="s">
        <v>106</v>
      </c>
      <c r="B3" s="13" t="s">
        <v>79</v>
      </c>
      <c r="C3" s="13" t="s">
        <v>492</v>
      </c>
      <c r="D3" s="13" t="s">
        <v>493</v>
      </c>
      <c r="E3" s="13" t="s">
        <v>494</v>
      </c>
    </row>
    <row r="4" spans="1:9" x14ac:dyDescent="0.25">
      <c r="A4" s="71">
        <v>1</v>
      </c>
      <c r="B4" s="41" t="s">
        <v>650</v>
      </c>
      <c r="C4" s="82">
        <f>48*210</f>
        <v>10080</v>
      </c>
      <c r="D4" s="92"/>
      <c r="E4" s="92"/>
      <c r="H4">
        <f>A4</f>
        <v>1</v>
      </c>
      <c r="I4" s="30">
        <f>C4</f>
        <v>10080</v>
      </c>
    </row>
    <row r="5" spans="1:9" x14ac:dyDescent="0.25">
      <c r="A5" s="71"/>
      <c r="B5" s="70" t="s">
        <v>169</v>
      </c>
      <c r="C5" s="63">
        <v>12</v>
      </c>
      <c r="H5">
        <f>A9</f>
        <v>2</v>
      </c>
      <c r="I5" s="30">
        <f>C9</f>
        <v>10000</v>
      </c>
    </row>
    <row r="6" spans="1:9" x14ac:dyDescent="0.25">
      <c r="A6" s="71"/>
      <c r="B6" s="70" t="s">
        <v>170</v>
      </c>
      <c r="C6" s="62">
        <f>C4/((100-C5)/100)-C4</f>
        <v>1374.545454545454</v>
      </c>
      <c r="H6">
        <f>A14</f>
        <v>3</v>
      </c>
      <c r="I6" s="30">
        <f>C14</f>
        <v>5600</v>
      </c>
    </row>
    <row r="7" spans="1:9" x14ac:dyDescent="0.25">
      <c r="A7" s="71"/>
      <c r="B7" s="70" t="s">
        <v>155</v>
      </c>
      <c r="C7" s="62">
        <f>C4+C6</f>
        <v>11454.545454545454</v>
      </c>
      <c r="H7">
        <f>A19</f>
        <v>4</v>
      </c>
      <c r="I7" s="30">
        <f>C19</f>
        <v>0</v>
      </c>
    </row>
    <row r="8" spans="1:9" x14ac:dyDescent="0.25">
      <c r="A8" s="4"/>
      <c r="C8" s="37"/>
      <c r="I8" s="30">
        <f>C24</f>
        <v>0</v>
      </c>
    </row>
    <row r="9" spans="1:9" x14ac:dyDescent="0.25">
      <c r="A9" s="71">
        <v>2</v>
      </c>
      <c r="B9" s="41" t="s">
        <v>651</v>
      </c>
      <c r="C9" s="82">
        <v>10000</v>
      </c>
      <c r="D9" s="92"/>
      <c r="E9" s="92"/>
      <c r="I9" s="30">
        <f>C29</f>
        <v>0</v>
      </c>
    </row>
    <row r="10" spans="1:9" x14ac:dyDescent="0.25">
      <c r="A10" s="71"/>
      <c r="B10" s="70" t="s">
        <v>169</v>
      </c>
      <c r="C10" s="63">
        <v>12</v>
      </c>
      <c r="I10" s="30">
        <f>C34</f>
        <v>0</v>
      </c>
    </row>
    <row r="11" spans="1:9" x14ac:dyDescent="0.25">
      <c r="A11" s="71"/>
      <c r="B11" s="70" t="s">
        <v>170</v>
      </c>
      <c r="C11" s="62">
        <f>C9/((100-C10)/100)-C9</f>
        <v>1363.636363636364</v>
      </c>
      <c r="I11" s="30">
        <f>C39</f>
        <v>0</v>
      </c>
    </row>
    <row r="12" spans="1:9" x14ac:dyDescent="0.25">
      <c r="A12" s="71"/>
      <c r="B12" s="70" t="s">
        <v>155</v>
      </c>
      <c r="C12" s="62">
        <f>C9+C11</f>
        <v>11363.636363636364</v>
      </c>
      <c r="I12" s="30"/>
    </row>
    <row r="13" spans="1:9" x14ac:dyDescent="0.25">
      <c r="A13" s="4"/>
      <c r="C13" s="37"/>
      <c r="I13" s="30"/>
    </row>
    <row r="14" spans="1:9" x14ac:dyDescent="0.25">
      <c r="A14" s="71">
        <v>3</v>
      </c>
      <c r="B14" s="41" t="s">
        <v>652</v>
      </c>
      <c r="C14" s="82">
        <f>2800*2</f>
        <v>5600</v>
      </c>
      <c r="D14" s="92"/>
      <c r="E14" s="92"/>
      <c r="I14" s="30"/>
    </row>
    <row r="15" spans="1:9" x14ac:dyDescent="0.25">
      <c r="A15" s="71"/>
      <c r="B15" s="70" t="s">
        <v>169</v>
      </c>
      <c r="C15" s="63">
        <v>12</v>
      </c>
      <c r="I15" s="30"/>
    </row>
    <row r="16" spans="1:9" x14ac:dyDescent="0.25">
      <c r="A16" s="71"/>
      <c r="B16" s="70" t="s">
        <v>170</v>
      </c>
      <c r="C16" s="62">
        <f>C14/((100-C15)/100)-C14</f>
        <v>763.63636363636397</v>
      </c>
    </row>
    <row r="17" spans="1:5" x14ac:dyDescent="0.25">
      <c r="A17" s="71"/>
      <c r="B17" s="70" t="s">
        <v>155</v>
      </c>
      <c r="C17" s="62">
        <f>C14+C16</f>
        <v>6363.636363636364</v>
      </c>
    </row>
    <row r="18" spans="1:5" x14ac:dyDescent="0.25">
      <c r="A18" s="4"/>
      <c r="C18" s="37"/>
    </row>
    <row r="19" spans="1:5" x14ac:dyDescent="0.25">
      <c r="A19" s="71">
        <v>4</v>
      </c>
      <c r="B19" s="41"/>
      <c r="C19" s="82"/>
      <c r="D19" s="92"/>
      <c r="E19" s="92"/>
    </row>
    <row r="20" spans="1:5" x14ac:dyDescent="0.25">
      <c r="A20" s="71"/>
      <c r="B20" s="70" t="s">
        <v>169</v>
      </c>
      <c r="C20" s="63">
        <v>12</v>
      </c>
    </row>
    <row r="21" spans="1:5" x14ac:dyDescent="0.25">
      <c r="A21" s="71"/>
      <c r="B21" s="70" t="s">
        <v>170</v>
      </c>
      <c r="C21" s="62">
        <f>C19/((100-C20)/100)-C19</f>
        <v>0</v>
      </c>
    </row>
    <row r="22" spans="1:5" x14ac:dyDescent="0.25">
      <c r="A22" s="71"/>
      <c r="B22" s="70" t="s">
        <v>155</v>
      </c>
      <c r="C22" s="62">
        <f>C19+C21</f>
        <v>0</v>
      </c>
    </row>
    <row r="23" spans="1:5" x14ac:dyDescent="0.25">
      <c r="A23" s="4"/>
      <c r="C23" s="37"/>
    </row>
    <row r="24" spans="1:5" x14ac:dyDescent="0.25">
      <c r="A24" s="71">
        <v>5</v>
      </c>
      <c r="B24" s="41"/>
      <c r="C24" s="82"/>
      <c r="D24" s="92"/>
      <c r="E24" s="92"/>
    </row>
    <row r="25" spans="1:5" x14ac:dyDescent="0.25">
      <c r="A25" s="71"/>
      <c r="B25" s="70" t="s">
        <v>169</v>
      </c>
      <c r="C25" s="63">
        <v>8</v>
      </c>
    </row>
    <row r="26" spans="1:5" x14ac:dyDescent="0.25">
      <c r="A26" s="71"/>
      <c r="B26" s="70" t="s">
        <v>170</v>
      </c>
      <c r="C26" s="62">
        <f>C24/((100-C25)/100)-C24</f>
        <v>0</v>
      </c>
    </row>
    <row r="27" spans="1:5" x14ac:dyDescent="0.25">
      <c r="A27" s="71"/>
      <c r="B27" s="70" t="s">
        <v>155</v>
      </c>
      <c r="C27" s="62">
        <f>C24+C26</f>
        <v>0</v>
      </c>
    </row>
    <row r="28" spans="1:5" x14ac:dyDescent="0.25">
      <c r="A28" s="4"/>
      <c r="C28" s="37"/>
    </row>
    <row r="29" spans="1:5" x14ac:dyDescent="0.25">
      <c r="A29" s="71">
        <v>6</v>
      </c>
      <c r="B29" s="41"/>
      <c r="C29" s="82"/>
      <c r="D29" s="92"/>
      <c r="E29" s="92"/>
    </row>
    <row r="30" spans="1:5" x14ac:dyDescent="0.25">
      <c r="A30" s="71"/>
      <c r="B30" s="70" t="s">
        <v>169</v>
      </c>
      <c r="C30" s="63">
        <v>18</v>
      </c>
    </row>
    <row r="31" spans="1:5" x14ac:dyDescent="0.25">
      <c r="A31" s="71"/>
      <c r="B31" s="70" t="s">
        <v>170</v>
      </c>
      <c r="C31" s="62">
        <f>C29/((100-C30)/100)-C29</f>
        <v>0</v>
      </c>
    </row>
    <row r="32" spans="1:5" x14ac:dyDescent="0.25">
      <c r="A32" s="71"/>
      <c r="B32" s="70" t="s">
        <v>155</v>
      </c>
      <c r="C32" s="62">
        <f>C29+C31</f>
        <v>0</v>
      </c>
    </row>
    <row r="33" spans="1:5" x14ac:dyDescent="0.25">
      <c r="A33" s="4"/>
      <c r="C33" s="37"/>
    </row>
    <row r="34" spans="1:5" x14ac:dyDescent="0.25">
      <c r="A34" s="71">
        <v>7</v>
      </c>
      <c r="B34" s="41"/>
      <c r="C34" s="82"/>
      <c r="D34" s="92"/>
      <c r="E34" s="92"/>
    </row>
    <row r="35" spans="1:5" x14ac:dyDescent="0.25">
      <c r="A35" s="71"/>
      <c r="B35" s="70" t="s">
        <v>169</v>
      </c>
      <c r="C35" s="63">
        <v>18</v>
      </c>
    </row>
    <row r="36" spans="1:5" x14ac:dyDescent="0.25">
      <c r="A36" s="71"/>
      <c r="B36" s="70" t="s">
        <v>170</v>
      </c>
      <c r="C36" s="62">
        <f>C34/((100-C35)/100)-C34</f>
        <v>0</v>
      </c>
    </row>
    <row r="37" spans="1:5" x14ac:dyDescent="0.25">
      <c r="A37" s="71"/>
      <c r="B37" s="70" t="s">
        <v>155</v>
      </c>
      <c r="C37" s="62">
        <f>C34+C36</f>
        <v>0</v>
      </c>
    </row>
    <row r="39" spans="1:5" x14ac:dyDescent="0.25">
      <c r="A39" s="71">
        <v>8</v>
      </c>
      <c r="B39" s="41"/>
      <c r="C39" s="82"/>
      <c r="D39" s="92"/>
      <c r="E39" s="92"/>
    </row>
    <row r="40" spans="1:5" x14ac:dyDescent="0.25">
      <c r="A40" s="71"/>
      <c r="B40" s="70" t="s">
        <v>169</v>
      </c>
      <c r="C40" s="63">
        <v>18</v>
      </c>
    </row>
    <row r="41" spans="1:5" x14ac:dyDescent="0.25">
      <c r="A41" s="71"/>
      <c r="B41" s="70" t="s">
        <v>170</v>
      </c>
      <c r="C41" s="62">
        <f>C39/((100-C40)/100)-C39</f>
        <v>0</v>
      </c>
    </row>
    <row r="42" spans="1:5" x14ac:dyDescent="0.25">
      <c r="A42" s="71"/>
      <c r="B42" s="70" t="s">
        <v>155</v>
      </c>
      <c r="C42" s="62">
        <f>C39+C41</f>
        <v>0</v>
      </c>
    </row>
    <row r="44" spans="1:5" x14ac:dyDescent="0.25">
      <c r="A44" s="71">
        <v>9</v>
      </c>
      <c r="B44" s="41"/>
      <c r="C44" s="82"/>
      <c r="D44" s="92"/>
      <c r="E44" s="92"/>
    </row>
    <row r="45" spans="1:5" x14ac:dyDescent="0.25">
      <c r="A45" s="71"/>
      <c r="B45" s="70" t="s">
        <v>169</v>
      </c>
      <c r="C45" s="63">
        <v>18</v>
      </c>
    </row>
    <row r="46" spans="1:5" x14ac:dyDescent="0.25">
      <c r="A46" s="71"/>
      <c r="B46" s="70" t="s">
        <v>170</v>
      </c>
      <c r="C46" s="62">
        <f>C44/((100-C45)/100)-C44</f>
        <v>0</v>
      </c>
    </row>
    <row r="47" spans="1:5" x14ac:dyDescent="0.25">
      <c r="A47" s="71"/>
      <c r="B47" s="70" t="s">
        <v>155</v>
      </c>
      <c r="C47" s="62">
        <f>C44+C46</f>
        <v>0</v>
      </c>
    </row>
    <row r="49" spans="1:5" x14ac:dyDescent="0.25">
      <c r="A49" s="71">
        <v>10</v>
      </c>
      <c r="B49" s="41"/>
      <c r="C49" s="82"/>
      <c r="D49" s="92"/>
      <c r="E49" s="92"/>
    </row>
    <row r="50" spans="1:5" x14ac:dyDescent="0.25">
      <c r="A50" s="71"/>
      <c r="B50" s="70" t="s">
        <v>169</v>
      </c>
      <c r="C50" s="63">
        <v>18</v>
      </c>
    </row>
    <row r="51" spans="1:5" x14ac:dyDescent="0.25">
      <c r="A51" s="71"/>
      <c r="B51" s="70" t="s">
        <v>170</v>
      </c>
      <c r="C51" s="62">
        <f>C49/((100-C50)/100)-C49</f>
        <v>0</v>
      </c>
    </row>
    <row r="52" spans="1:5" x14ac:dyDescent="0.25">
      <c r="A52" s="71"/>
      <c r="B52" s="70" t="s">
        <v>155</v>
      </c>
      <c r="C52" s="62">
        <f>C49+C51</f>
        <v>0</v>
      </c>
    </row>
    <row r="54" spans="1:5" x14ac:dyDescent="0.25">
      <c r="A54" s="71">
        <v>11</v>
      </c>
      <c r="B54" s="41"/>
      <c r="C54" s="82"/>
      <c r="D54" s="92"/>
      <c r="E54" s="92"/>
    </row>
    <row r="55" spans="1:5" x14ac:dyDescent="0.25">
      <c r="A55" s="71"/>
      <c r="B55" s="70" t="s">
        <v>169</v>
      </c>
      <c r="C55" s="63">
        <v>18</v>
      </c>
    </row>
    <row r="56" spans="1:5" x14ac:dyDescent="0.25">
      <c r="A56" s="71"/>
      <c r="B56" s="70" t="s">
        <v>170</v>
      </c>
      <c r="C56" s="62">
        <f>C54/((100-C55)/100)-C54</f>
        <v>0</v>
      </c>
    </row>
    <row r="57" spans="1:5" x14ac:dyDescent="0.25">
      <c r="A57" s="71"/>
      <c r="B57" s="70" t="s">
        <v>155</v>
      </c>
      <c r="C57" s="62">
        <f>C54+C56</f>
        <v>0</v>
      </c>
    </row>
    <row r="59" spans="1:5" x14ac:dyDescent="0.25">
      <c r="A59" s="71">
        <v>12</v>
      </c>
      <c r="B59" s="41"/>
      <c r="C59" s="82"/>
      <c r="D59" s="92"/>
      <c r="E59" s="92"/>
    </row>
    <row r="60" spans="1:5" x14ac:dyDescent="0.25">
      <c r="A60" s="71"/>
      <c r="B60" s="70" t="s">
        <v>169</v>
      </c>
      <c r="C60" s="63">
        <v>18</v>
      </c>
    </row>
    <row r="61" spans="1:5" x14ac:dyDescent="0.25">
      <c r="A61" s="71"/>
      <c r="B61" s="70" t="s">
        <v>170</v>
      </c>
      <c r="C61" s="62">
        <f>C59/((100-C60)/100)-C59</f>
        <v>0</v>
      </c>
    </row>
    <row r="62" spans="1:5" x14ac:dyDescent="0.25">
      <c r="A62" s="71"/>
      <c r="B62" s="70" t="s">
        <v>155</v>
      </c>
      <c r="C62" s="62">
        <f>C59+C61</f>
        <v>0</v>
      </c>
    </row>
    <row r="64" spans="1:5" x14ac:dyDescent="0.25">
      <c r="A64" s="71">
        <v>13</v>
      </c>
      <c r="B64" s="41"/>
      <c r="C64" s="82"/>
      <c r="D64" s="92"/>
      <c r="E64" s="92"/>
    </row>
    <row r="65" spans="1:5" x14ac:dyDescent="0.25">
      <c r="A65" s="71"/>
      <c r="B65" s="70" t="s">
        <v>169</v>
      </c>
      <c r="C65" s="63">
        <v>18</v>
      </c>
    </row>
    <row r="66" spans="1:5" x14ac:dyDescent="0.25">
      <c r="A66" s="71"/>
      <c r="B66" s="70" t="s">
        <v>170</v>
      </c>
      <c r="C66" s="62">
        <f>C64/((100-C65)/100)-C64</f>
        <v>0</v>
      </c>
    </row>
    <row r="67" spans="1:5" x14ac:dyDescent="0.25">
      <c r="A67" s="71"/>
      <c r="B67" s="70" t="s">
        <v>155</v>
      </c>
      <c r="C67" s="62">
        <f>C64+C66</f>
        <v>0</v>
      </c>
    </row>
    <row r="69" spans="1:5" x14ac:dyDescent="0.25">
      <c r="A69" s="71">
        <v>14</v>
      </c>
      <c r="B69" s="41"/>
      <c r="C69" s="82"/>
      <c r="D69" s="92"/>
      <c r="E69" s="92"/>
    </row>
    <row r="70" spans="1:5" x14ac:dyDescent="0.25">
      <c r="A70" s="71"/>
      <c r="B70" s="70" t="s">
        <v>169</v>
      </c>
      <c r="C70" s="63">
        <v>18</v>
      </c>
    </row>
    <row r="71" spans="1:5" x14ac:dyDescent="0.25">
      <c r="A71" s="71"/>
      <c r="B71" s="70" t="s">
        <v>170</v>
      </c>
      <c r="C71" s="62">
        <f>C69/((100-C70)/100)-C69</f>
        <v>0</v>
      </c>
    </row>
    <row r="72" spans="1:5" x14ac:dyDescent="0.25">
      <c r="A72" s="71"/>
      <c r="B72" s="70" t="s">
        <v>155</v>
      </c>
      <c r="C72" s="62">
        <f>C69+C71</f>
        <v>0</v>
      </c>
    </row>
    <row r="74" spans="1:5" x14ac:dyDescent="0.25">
      <c r="A74" s="71">
        <v>15</v>
      </c>
      <c r="B74" s="41"/>
      <c r="C74" s="82"/>
      <c r="D74" s="92"/>
      <c r="E74" s="92"/>
    </row>
    <row r="75" spans="1:5" x14ac:dyDescent="0.25">
      <c r="A75" s="71"/>
      <c r="B75" s="70" t="s">
        <v>169</v>
      </c>
      <c r="C75" s="63">
        <v>18</v>
      </c>
    </row>
    <row r="76" spans="1:5" x14ac:dyDescent="0.25">
      <c r="A76" s="71"/>
      <c r="B76" s="70" t="s">
        <v>170</v>
      </c>
      <c r="C76" s="62">
        <f>C74/((100-C75)/100)-C74</f>
        <v>0</v>
      </c>
    </row>
    <row r="77" spans="1:5" x14ac:dyDescent="0.25">
      <c r="A77" s="71"/>
      <c r="B77" s="70" t="s">
        <v>155</v>
      </c>
      <c r="C77" s="62">
        <f>C74+C76</f>
        <v>0</v>
      </c>
    </row>
    <row r="79" spans="1:5" x14ac:dyDescent="0.25">
      <c r="B79" s="2"/>
      <c r="C79" s="30"/>
    </row>
  </sheetData>
  <autoFilter ref="C1:C79" xr:uid="{6DBA9037-C467-490E-B06E-8307D3B81C7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9B61-57EE-4ECE-90E9-775FEECABD2B}">
  <dimension ref="A1:G131"/>
  <sheetViews>
    <sheetView showZeros="0" tabSelected="1" topLeftCell="A19" zoomScaleNormal="100" workbookViewId="0">
      <selection activeCell="J13" sqref="J13"/>
    </sheetView>
  </sheetViews>
  <sheetFormatPr defaultColWidth="8.85546875" defaultRowHeight="15" x14ac:dyDescent="0.25"/>
  <cols>
    <col min="1" max="1" width="18" customWidth="1"/>
    <col min="2" max="3" width="16.42578125" customWidth="1"/>
    <col min="4" max="4" width="3" customWidth="1"/>
    <col min="5" max="5" width="20.140625" customWidth="1"/>
    <col min="6" max="7" width="16.42578125" customWidth="1"/>
  </cols>
  <sheetData>
    <row r="1" spans="1:7" x14ac:dyDescent="0.25">
      <c r="A1" s="1" t="s">
        <v>116</v>
      </c>
      <c r="B1" t="s">
        <v>582</v>
      </c>
    </row>
    <row r="2" spans="1:7" x14ac:dyDescent="0.25">
      <c r="A2" s="1" t="s">
        <v>117</v>
      </c>
      <c r="B2">
        <f>Koontisivu!A12</f>
        <v>0</v>
      </c>
    </row>
    <row r="4" spans="1:7" x14ac:dyDescent="0.25">
      <c r="G4" s="49" t="s">
        <v>184</v>
      </c>
    </row>
    <row r="5" spans="1:7" x14ac:dyDescent="0.25">
      <c r="A5" s="1" t="s">
        <v>104</v>
      </c>
      <c r="B5" s="4"/>
      <c r="F5" s="12" t="s">
        <v>183</v>
      </c>
      <c r="G5" s="50">
        <v>42</v>
      </c>
    </row>
    <row r="6" spans="1:7" x14ac:dyDescent="0.25">
      <c r="B6" s="4"/>
    </row>
    <row r="7" spans="1:7" x14ac:dyDescent="0.25">
      <c r="A7" s="107" t="s">
        <v>231</v>
      </c>
      <c r="B7" s="99" t="s">
        <v>126</v>
      </c>
      <c r="C7" s="67">
        <f>Tuntihinnoittelut!C39</f>
        <v>12432</v>
      </c>
      <c r="E7" s="107" t="s">
        <v>105</v>
      </c>
      <c r="F7" s="57" t="s">
        <v>114</v>
      </c>
      <c r="G7" s="58" t="s">
        <v>76</v>
      </c>
    </row>
    <row r="8" spans="1:7" x14ac:dyDescent="0.25">
      <c r="B8" s="70" t="s">
        <v>232</v>
      </c>
      <c r="C8" s="71">
        <f>Tuntihinnoittelut!C37</f>
        <v>296</v>
      </c>
      <c r="E8" s="58" t="s">
        <v>106</v>
      </c>
      <c r="F8" s="59">
        <f>'Väliseinät sisällä'!C37</f>
        <v>12886.143846666668</v>
      </c>
      <c r="G8" s="61">
        <f>'Väliseinät sisällä'!C40</f>
        <v>13835.599999999999</v>
      </c>
    </row>
    <row r="9" spans="1:7" x14ac:dyDescent="0.25">
      <c r="B9" t="s">
        <v>656</v>
      </c>
      <c r="C9" s="133">
        <f>C7/B120</f>
        <v>0.23318406577051112</v>
      </c>
      <c r="E9" s="58" t="s">
        <v>107</v>
      </c>
      <c r="F9" s="59">
        <f>'Väliseinät sisällä'!C82</f>
        <v>0</v>
      </c>
      <c r="G9" s="61">
        <f>'Väliseinät sisällä'!C85</f>
        <v>0</v>
      </c>
    </row>
    <row r="10" spans="1:7" x14ac:dyDescent="0.25">
      <c r="A10" s="107" t="s">
        <v>236</v>
      </c>
      <c r="B10" s="99" t="s">
        <v>126</v>
      </c>
      <c r="C10" s="81">
        <f>Materiaalihinnoittelut!F327</f>
        <v>4668</v>
      </c>
      <c r="E10" s="58" t="s">
        <v>108</v>
      </c>
      <c r="F10" s="59">
        <f>'Väliseinät sisällä'!C126</f>
        <v>0</v>
      </c>
      <c r="G10" s="61">
        <f>'Väliseinät sisällä'!C129</f>
        <v>0</v>
      </c>
    </row>
    <row r="11" spans="1:7" x14ac:dyDescent="0.25">
      <c r="A11" s="60" t="s">
        <v>169</v>
      </c>
      <c r="B11" s="60"/>
      <c r="C11" s="17">
        <v>15</v>
      </c>
      <c r="E11" s="58" t="s">
        <v>109</v>
      </c>
      <c r="F11" s="59">
        <f>'Väliseinät sisällä'!C169</f>
        <v>0</v>
      </c>
      <c r="G11" s="61">
        <f>'Väliseinät sisällä'!C172</f>
        <v>0</v>
      </c>
    </row>
    <row r="12" spans="1:7" x14ac:dyDescent="0.25">
      <c r="A12" s="58" t="s">
        <v>170</v>
      </c>
      <c r="B12" s="60"/>
      <c r="C12" s="62">
        <f>(C10/((100-C11)/100))-C10</f>
        <v>823.76470588235316</v>
      </c>
      <c r="E12" s="58" t="s">
        <v>110</v>
      </c>
      <c r="F12" s="59">
        <f>'Väliseinät sisällä'!C212</f>
        <v>0</v>
      </c>
      <c r="G12" s="61">
        <f>'Väliseinät sisällä'!C215</f>
        <v>0</v>
      </c>
    </row>
    <row r="13" spans="1:7" x14ac:dyDescent="0.25">
      <c r="A13" s="60"/>
      <c r="B13" s="60"/>
      <c r="C13" s="60"/>
      <c r="E13" s="58" t="s">
        <v>111</v>
      </c>
      <c r="F13" s="59">
        <f>'Väliseinät sisällä'!C255</f>
        <v>0</v>
      </c>
      <c r="G13" s="61">
        <f>'Väliseinät sisällä'!C258</f>
        <v>0</v>
      </c>
    </row>
    <row r="14" spans="1:7" x14ac:dyDescent="0.25">
      <c r="A14" s="58" t="s">
        <v>153</v>
      </c>
      <c r="B14" s="60"/>
      <c r="C14" s="67">
        <f>C10+C12</f>
        <v>5491.7647058823532</v>
      </c>
      <c r="E14" s="58" t="s">
        <v>112</v>
      </c>
      <c r="F14" s="59">
        <f>'Väliseinät sisällä'!C298</f>
        <v>0</v>
      </c>
      <c r="G14" s="61">
        <f>'Väliseinät sisällä'!C301</f>
        <v>0</v>
      </c>
    </row>
    <row r="15" spans="1:7" x14ac:dyDescent="0.25">
      <c r="E15" s="58" t="s">
        <v>113</v>
      </c>
      <c r="F15" s="59">
        <f>'Väliseinät sisällä'!C341</f>
        <v>0</v>
      </c>
      <c r="G15" s="61">
        <f>'Väliseinät sisällä'!C344</f>
        <v>0</v>
      </c>
    </row>
    <row r="16" spans="1:7" x14ac:dyDescent="0.25">
      <c r="E16" s="60"/>
      <c r="F16" s="60"/>
      <c r="G16" s="60"/>
    </row>
    <row r="17" spans="1:7" x14ac:dyDescent="0.25">
      <c r="A17" s="107" t="s">
        <v>235</v>
      </c>
      <c r="B17" s="58" t="s">
        <v>114</v>
      </c>
      <c r="C17" s="58" t="s">
        <v>76</v>
      </c>
      <c r="E17" s="60"/>
      <c r="F17" s="60"/>
      <c r="G17" s="60"/>
    </row>
    <row r="18" spans="1:7" x14ac:dyDescent="0.25">
      <c r="A18" s="58" t="s">
        <v>106</v>
      </c>
      <c r="B18" s="62"/>
      <c r="C18" s="62">
        <f>Purkutyöt!C7</f>
        <v>0</v>
      </c>
      <c r="E18" s="60"/>
      <c r="F18" s="60"/>
      <c r="G18" s="60"/>
    </row>
    <row r="19" spans="1:7" x14ac:dyDescent="0.25">
      <c r="A19" s="58" t="s">
        <v>107</v>
      </c>
      <c r="B19" s="62">
        <f>Purkutyöt!C38</f>
        <v>4330</v>
      </c>
      <c r="C19" s="62">
        <f>Purkutyöt!C36</f>
        <v>1680</v>
      </c>
      <c r="E19" s="60"/>
      <c r="F19" s="60"/>
      <c r="G19" s="60"/>
    </row>
    <row r="20" spans="1:7" x14ac:dyDescent="0.25">
      <c r="A20" s="58"/>
      <c r="B20" s="62"/>
      <c r="C20" s="62"/>
      <c r="E20" s="60"/>
      <c r="F20" s="60"/>
      <c r="G20" s="60"/>
    </row>
    <row r="21" spans="1:7" x14ac:dyDescent="0.25">
      <c r="A21" s="58" t="s">
        <v>276</v>
      </c>
      <c r="B21" s="62">
        <f>SUM(B18:B19)</f>
        <v>4330</v>
      </c>
      <c r="C21" s="62">
        <f>SUM(C18:C20)</f>
        <v>1680</v>
      </c>
      <c r="E21" s="58" t="s">
        <v>115</v>
      </c>
      <c r="F21" s="61">
        <f>SUM(F8:F16)</f>
        <v>12886.143846666668</v>
      </c>
      <c r="G21" s="61">
        <f>SUM(G8:G16)</f>
        <v>13835.599999999999</v>
      </c>
    </row>
    <row r="22" spans="1:7" x14ac:dyDescent="0.25">
      <c r="A22" s="58" t="s">
        <v>169</v>
      </c>
      <c r="B22" s="63">
        <v>20</v>
      </c>
      <c r="C22" s="63">
        <v>15</v>
      </c>
      <c r="E22" s="58" t="s">
        <v>169</v>
      </c>
      <c r="F22" s="17">
        <v>20</v>
      </c>
      <c r="G22" s="17">
        <v>15</v>
      </c>
    </row>
    <row r="23" spans="1:7" x14ac:dyDescent="0.25">
      <c r="A23" s="58" t="s">
        <v>170</v>
      </c>
      <c r="B23" s="62">
        <f>(B21/((100-B22)/100))-B21</f>
        <v>1082.5</v>
      </c>
      <c r="C23" s="62">
        <f>(C21/((100-C22)/100))-C21</f>
        <v>296.47058823529414</v>
      </c>
      <c r="E23" s="58" t="s">
        <v>170</v>
      </c>
      <c r="F23" s="61">
        <f>F21/((100-F22)/100)-F21</f>
        <v>3221.5359616666665</v>
      </c>
      <c r="G23" s="61">
        <f>G21/((100-G22)/100)-G21</f>
        <v>2441.5764705882357</v>
      </c>
    </row>
    <row r="24" spans="1:7" x14ac:dyDescent="0.25">
      <c r="A24" s="60"/>
      <c r="B24" s="62"/>
      <c r="C24" s="62"/>
      <c r="E24" s="60"/>
      <c r="F24" s="60"/>
      <c r="G24" s="60"/>
    </row>
    <row r="25" spans="1:7" x14ac:dyDescent="0.25">
      <c r="A25" s="58" t="s">
        <v>277</v>
      </c>
      <c r="B25" s="81">
        <f>B21+B23</f>
        <v>5412.5</v>
      </c>
      <c r="C25" s="81">
        <f>C21+C23</f>
        <v>1976.4705882352941</v>
      </c>
      <c r="E25" s="58" t="s">
        <v>118</v>
      </c>
      <c r="F25" s="67">
        <f>F21+F23</f>
        <v>16107.679808333334</v>
      </c>
      <c r="G25" s="67">
        <f>G21+G23</f>
        <v>16277.176470588234</v>
      </c>
    </row>
    <row r="26" spans="1:7" x14ac:dyDescent="0.25">
      <c r="A26" s="60" t="s">
        <v>656</v>
      </c>
      <c r="B26" s="60"/>
      <c r="C26" s="131">
        <f>C25/B120</f>
        <v>3.7072188516774421E-2</v>
      </c>
      <c r="E26" s="60" t="s">
        <v>656</v>
      </c>
      <c r="F26" s="60"/>
      <c r="G26" s="131">
        <f>G21/B120</f>
        <v>0.25951105697992949</v>
      </c>
    </row>
    <row r="27" spans="1:7" x14ac:dyDescent="0.25">
      <c r="A27" s="58" t="s">
        <v>278</v>
      </c>
      <c r="B27" s="60"/>
      <c r="C27" s="64">
        <f>C25/G5</f>
        <v>47.058823529411768</v>
      </c>
      <c r="E27" s="58" t="s">
        <v>182</v>
      </c>
      <c r="F27" s="60"/>
      <c r="G27" s="64">
        <f>G25/G5</f>
        <v>387.55182072829132</v>
      </c>
    </row>
    <row r="30" spans="1:7" x14ac:dyDescent="0.25">
      <c r="A30" s="107" t="s">
        <v>167</v>
      </c>
      <c r="B30" s="58" t="s">
        <v>114</v>
      </c>
      <c r="C30" s="58" t="s">
        <v>76</v>
      </c>
      <c r="D30" s="1"/>
      <c r="E30" s="107" t="s">
        <v>211</v>
      </c>
      <c r="F30" s="58" t="s">
        <v>114</v>
      </c>
      <c r="G30" s="58" t="s">
        <v>76</v>
      </c>
    </row>
    <row r="31" spans="1:7" x14ac:dyDescent="0.25">
      <c r="A31" s="58" t="s">
        <v>106</v>
      </c>
      <c r="B31" s="61">
        <f>Maalaukset!B27</f>
        <v>4505.0888888888885</v>
      </c>
      <c r="C31" s="62">
        <f>Maalaukset!B30</f>
        <v>8239.7999999999993</v>
      </c>
      <c r="E31" s="58" t="s">
        <v>106</v>
      </c>
      <c r="F31" s="61">
        <f>Alakatot!B26</f>
        <v>5516</v>
      </c>
      <c r="G31" s="61">
        <f>Alakatot!B29</f>
        <v>2850</v>
      </c>
    </row>
    <row r="32" spans="1:7" x14ac:dyDescent="0.25">
      <c r="A32" s="58" t="s">
        <v>107</v>
      </c>
      <c r="B32" s="61">
        <f>Maalaukset!B60</f>
        <v>801.16</v>
      </c>
      <c r="C32" s="62">
        <f>Maalaukset!B63</f>
        <v>267.75</v>
      </c>
      <c r="E32" s="58" t="s">
        <v>107</v>
      </c>
      <c r="F32" s="61">
        <f>Alakatot!B56</f>
        <v>2345</v>
      </c>
      <c r="G32" s="61">
        <f>Alakatot!B59</f>
        <v>2100</v>
      </c>
    </row>
    <row r="33" spans="1:7" x14ac:dyDescent="0.25">
      <c r="A33" s="58" t="s">
        <v>108</v>
      </c>
      <c r="B33" s="61">
        <f>Maalaukset!B93</f>
        <v>0</v>
      </c>
      <c r="C33" s="62">
        <f>Maalaukset!B96</f>
        <v>0</v>
      </c>
      <c r="E33" s="58" t="s">
        <v>108</v>
      </c>
      <c r="F33" s="61">
        <f>Alakatot!B86</f>
        <v>0</v>
      </c>
      <c r="G33" s="61">
        <f>Alakatot!B89</f>
        <v>0</v>
      </c>
    </row>
    <row r="34" spans="1:7" x14ac:dyDescent="0.25">
      <c r="A34" s="58" t="s">
        <v>109</v>
      </c>
      <c r="B34" s="61">
        <f>Maalaukset!B126</f>
        <v>0</v>
      </c>
      <c r="C34" s="62">
        <f>Maalaukset!B129</f>
        <v>0</v>
      </c>
      <c r="E34" s="58" t="s">
        <v>109</v>
      </c>
      <c r="F34" s="61">
        <f>Alakatot!B116</f>
        <v>0</v>
      </c>
      <c r="G34" s="61">
        <f>Alakatot!B119</f>
        <v>0</v>
      </c>
    </row>
    <row r="35" spans="1:7" x14ac:dyDescent="0.25">
      <c r="A35" s="58" t="s">
        <v>110</v>
      </c>
      <c r="B35" s="61">
        <f>Maalaukset!B159</f>
        <v>0</v>
      </c>
      <c r="C35" s="62">
        <f>Maalaukset!B162</f>
        <v>0</v>
      </c>
      <c r="E35" s="58" t="s">
        <v>110</v>
      </c>
      <c r="F35" s="61">
        <f>Alakatot!B146</f>
        <v>0</v>
      </c>
      <c r="G35" s="61">
        <f>Alakatot!B149</f>
        <v>0</v>
      </c>
    </row>
    <row r="36" spans="1:7" x14ac:dyDescent="0.25">
      <c r="A36" s="58" t="s">
        <v>111</v>
      </c>
      <c r="B36" s="61">
        <f>Maalaukset!B192</f>
        <v>0</v>
      </c>
      <c r="C36" s="62">
        <f>Maalaukset!B195</f>
        <v>0</v>
      </c>
      <c r="E36" s="58" t="s">
        <v>111</v>
      </c>
      <c r="F36" s="61">
        <f>Alakatot!B176</f>
        <v>0</v>
      </c>
      <c r="G36" s="61">
        <f>Alakatot!B179</f>
        <v>0</v>
      </c>
    </row>
    <row r="37" spans="1:7" x14ac:dyDescent="0.25">
      <c r="A37" s="58" t="s">
        <v>112</v>
      </c>
      <c r="B37" s="61">
        <f>Maalaukset!B225</f>
        <v>0</v>
      </c>
      <c r="C37" s="62">
        <f>Maalaukset!B228</f>
        <v>0</v>
      </c>
      <c r="E37" s="58" t="s">
        <v>112</v>
      </c>
      <c r="F37" s="61">
        <f>Alakatot!B206</f>
        <v>0</v>
      </c>
      <c r="G37" s="61">
        <f>Alakatot!B209</f>
        <v>0</v>
      </c>
    </row>
    <row r="38" spans="1:7" x14ac:dyDescent="0.25">
      <c r="A38" s="58" t="s">
        <v>113</v>
      </c>
      <c r="B38" s="61">
        <f>Maalaukset!B258</f>
        <v>0</v>
      </c>
      <c r="C38" s="62">
        <f>Maalaukset!B261</f>
        <v>0</v>
      </c>
      <c r="E38" s="58" t="s">
        <v>113</v>
      </c>
      <c r="F38" s="61">
        <f>Alakatot!B236</f>
        <v>0</v>
      </c>
      <c r="G38" s="61">
        <f>Alakatot!B239</f>
        <v>0</v>
      </c>
    </row>
    <row r="39" spans="1:7" x14ac:dyDescent="0.25">
      <c r="A39" s="58" t="s">
        <v>163</v>
      </c>
      <c r="B39" s="61">
        <f>Maalaukset!B291</f>
        <v>0</v>
      </c>
      <c r="C39" s="62">
        <f>Maalaukset!B294</f>
        <v>0</v>
      </c>
      <c r="E39" s="60"/>
      <c r="F39" s="60"/>
      <c r="G39" s="60"/>
    </row>
    <row r="40" spans="1:7" x14ac:dyDescent="0.25">
      <c r="A40" s="58" t="s">
        <v>164</v>
      </c>
      <c r="B40" s="61">
        <f>Maalaukset!B324</f>
        <v>0</v>
      </c>
      <c r="C40" s="62">
        <f>Maalaukset!B327</f>
        <v>0</v>
      </c>
      <c r="E40" s="58" t="s">
        <v>115</v>
      </c>
      <c r="F40" s="61">
        <f>SUM(F31:F39)</f>
        <v>7861</v>
      </c>
      <c r="G40" s="61">
        <f>SUM(G31:G39)</f>
        <v>4950</v>
      </c>
    </row>
    <row r="41" spans="1:7" x14ac:dyDescent="0.25">
      <c r="A41" s="58" t="s">
        <v>165</v>
      </c>
      <c r="B41" s="61">
        <f>Maalaukset!B357</f>
        <v>0</v>
      </c>
      <c r="C41" s="62">
        <f>Maalaukset!B360</f>
        <v>0</v>
      </c>
      <c r="E41" s="58" t="s">
        <v>169</v>
      </c>
      <c r="F41" s="17">
        <v>20</v>
      </c>
      <c r="G41" s="17">
        <v>15</v>
      </c>
    </row>
    <row r="42" spans="1:7" x14ac:dyDescent="0.25">
      <c r="A42" s="58" t="s">
        <v>166</v>
      </c>
      <c r="B42" s="61">
        <f>Maalaukset!B390</f>
        <v>0</v>
      </c>
      <c r="C42" s="62">
        <f>Maalaukset!B393</f>
        <v>0</v>
      </c>
      <c r="E42" s="58" t="s">
        <v>170</v>
      </c>
      <c r="F42" s="61">
        <f>F40/((100-F41)/100)-F40</f>
        <v>1965.25</v>
      </c>
      <c r="G42" s="61">
        <f>G40/((100-G41)/100)-G40</f>
        <v>873.52941176470631</v>
      </c>
    </row>
    <row r="43" spans="1:7" x14ac:dyDescent="0.25">
      <c r="A43" s="60"/>
      <c r="B43" s="60"/>
      <c r="C43" s="62"/>
      <c r="E43" s="60"/>
      <c r="F43" s="60"/>
      <c r="G43" s="60"/>
    </row>
    <row r="44" spans="1:7" x14ac:dyDescent="0.25">
      <c r="A44" s="58" t="s">
        <v>115</v>
      </c>
      <c r="B44" s="61">
        <f>SUM(B31:B43)</f>
        <v>5306.2488888888884</v>
      </c>
      <c r="C44" s="62">
        <f>SUM(C31:C43)</f>
        <v>8507.5499999999993</v>
      </c>
      <c r="E44" s="58" t="s">
        <v>212</v>
      </c>
      <c r="F44" s="67">
        <f>F40+F42</f>
        <v>9826.25</v>
      </c>
      <c r="G44" s="67">
        <f>G40+G42</f>
        <v>5823.5294117647063</v>
      </c>
    </row>
    <row r="45" spans="1:7" x14ac:dyDescent="0.25">
      <c r="A45" s="58" t="s">
        <v>169</v>
      </c>
      <c r="B45" s="17">
        <v>20</v>
      </c>
      <c r="C45" s="63">
        <v>15</v>
      </c>
      <c r="D45" s="4"/>
      <c r="E45" s="60" t="s">
        <v>656</v>
      </c>
      <c r="F45" s="60"/>
      <c r="G45" s="131">
        <f>G40/B120</f>
        <v>9.2845972133528798E-2</v>
      </c>
    </row>
    <row r="46" spans="1:7" x14ac:dyDescent="0.25">
      <c r="A46" s="58" t="s">
        <v>170</v>
      </c>
      <c r="B46" s="61">
        <f>B44/((100-B45)/100)-B44</f>
        <v>1326.5622222222219</v>
      </c>
      <c r="C46" s="61">
        <f>C44/((100-C45)/100)-C44</f>
        <v>1501.3323529411773</v>
      </c>
      <c r="E46" s="58" t="s">
        <v>213</v>
      </c>
      <c r="F46" s="60"/>
      <c r="G46" s="64">
        <f>G44/G5</f>
        <v>138.65546218487395</v>
      </c>
    </row>
    <row r="47" spans="1:7" x14ac:dyDescent="0.25">
      <c r="A47" s="60"/>
      <c r="B47" s="60"/>
      <c r="C47" s="62"/>
    </row>
    <row r="48" spans="1:7" x14ac:dyDescent="0.25">
      <c r="A48" s="58" t="s">
        <v>168</v>
      </c>
      <c r="B48" s="67">
        <f>B44+B46</f>
        <v>6632.8111111111102</v>
      </c>
      <c r="C48" s="67">
        <f>C44+C46</f>
        <v>10008.882352941177</v>
      </c>
    </row>
    <row r="49" spans="1:7" x14ac:dyDescent="0.25">
      <c r="A49" s="60" t="s">
        <v>656</v>
      </c>
      <c r="B49" s="60"/>
      <c r="C49" s="131">
        <f>C44/B120</f>
        <v>0.15957409095446523</v>
      </c>
    </row>
    <row r="50" spans="1:7" x14ac:dyDescent="0.25">
      <c r="A50" s="58" t="s">
        <v>181</v>
      </c>
      <c r="B50" s="60"/>
      <c r="C50" s="64">
        <f>C48/G5</f>
        <v>238.30672268907563</v>
      </c>
    </row>
    <row r="53" spans="1:7" x14ac:dyDescent="0.25">
      <c r="D53" s="1"/>
    </row>
    <row r="54" spans="1:7" x14ac:dyDescent="0.25">
      <c r="D54" s="30"/>
    </row>
    <row r="55" spans="1:7" x14ac:dyDescent="0.25">
      <c r="D55" s="30"/>
    </row>
    <row r="56" spans="1:7" x14ac:dyDescent="0.25">
      <c r="D56" s="30"/>
    </row>
    <row r="57" spans="1:7" x14ac:dyDescent="0.25">
      <c r="D57" s="30"/>
    </row>
    <row r="58" spans="1:7" x14ac:dyDescent="0.25">
      <c r="D58" s="30"/>
    </row>
    <row r="59" spans="1:7" x14ac:dyDescent="0.25">
      <c r="D59" s="30"/>
    </row>
    <row r="60" spans="1:7" x14ac:dyDescent="0.25">
      <c r="A60" s="107" t="s">
        <v>225</v>
      </c>
      <c r="B60" s="56" t="s">
        <v>114</v>
      </c>
      <c r="C60" s="56" t="s">
        <v>76</v>
      </c>
      <c r="D60" s="30"/>
      <c r="E60" s="107" t="s">
        <v>290</v>
      </c>
      <c r="F60" s="56" t="s">
        <v>114</v>
      </c>
      <c r="G60" s="56" t="s">
        <v>76</v>
      </c>
    </row>
    <row r="61" spans="1:7" x14ac:dyDescent="0.25">
      <c r="A61" s="58" t="s">
        <v>106</v>
      </c>
      <c r="B61" s="61">
        <f>Lattiat!B30</f>
        <v>13385</v>
      </c>
      <c r="C61" s="61">
        <f>Lattiat!B33</f>
        <v>1980</v>
      </c>
      <c r="D61" s="30"/>
      <c r="E61" s="58" t="s">
        <v>106</v>
      </c>
      <c r="F61" s="61">
        <f>'Oviasennukset ja listoitukset'!B30</f>
        <v>9414.4444444444434</v>
      </c>
      <c r="G61" s="61">
        <f>'Oviasennukset ja listoitukset'!B33</f>
        <v>2229.84</v>
      </c>
    </row>
    <row r="62" spans="1:7" x14ac:dyDescent="0.25">
      <c r="A62" s="58" t="s">
        <v>107</v>
      </c>
      <c r="B62" s="61">
        <f>Lattiat!B65</f>
        <v>4200</v>
      </c>
      <c r="C62" s="61">
        <f>Lattiat!B68</f>
        <v>2160</v>
      </c>
      <c r="E62" s="58" t="s">
        <v>107</v>
      </c>
      <c r="F62" s="61">
        <f>'Oviasennukset ja listoitukset'!B64</f>
        <v>0</v>
      </c>
      <c r="G62" s="61">
        <f>'Oviasennukset ja listoitukset'!B67</f>
        <v>0</v>
      </c>
    </row>
    <row r="63" spans="1:7" x14ac:dyDescent="0.25">
      <c r="A63" s="58" t="s">
        <v>108</v>
      </c>
      <c r="B63" s="61">
        <f>Lattiat!B100</f>
        <v>0</v>
      </c>
      <c r="C63" s="61">
        <f>Lattiat!B103</f>
        <v>0</v>
      </c>
      <c r="D63" s="30"/>
      <c r="E63" s="58" t="s">
        <v>108</v>
      </c>
      <c r="F63" s="61">
        <f>'Oviasennukset ja listoitukset'!B98</f>
        <v>0</v>
      </c>
      <c r="G63" s="61">
        <f>'Oviasennukset ja listoitukset'!B101</f>
        <v>0</v>
      </c>
    </row>
    <row r="64" spans="1:7" x14ac:dyDescent="0.25">
      <c r="A64" s="58" t="s">
        <v>109</v>
      </c>
      <c r="B64" s="61">
        <f>Lattiat!B135</f>
        <v>0</v>
      </c>
      <c r="C64" s="61">
        <f>Lattiat!B138</f>
        <v>0</v>
      </c>
      <c r="E64" s="58" t="s">
        <v>109</v>
      </c>
      <c r="F64" s="61">
        <f>'Oviasennukset ja listoitukset'!B132</f>
        <v>0</v>
      </c>
      <c r="G64" s="61">
        <f>'Oviasennukset ja listoitukset'!B135</f>
        <v>0</v>
      </c>
    </row>
    <row r="65" spans="1:7" x14ac:dyDescent="0.25">
      <c r="A65" s="58" t="s">
        <v>110</v>
      </c>
      <c r="B65" s="61">
        <f>Lattiat!B170</f>
        <v>0</v>
      </c>
      <c r="C65" s="61">
        <f>Lattiat!B173</f>
        <v>0</v>
      </c>
      <c r="D65" s="30"/>
      <c r="E65" s="58" t="s">
        <v>110</v>
      </c>
      <c r="F65" s="61">
        <f>'Oviasennukset ja listoitukset'!B166</f>
        <v>0</v>
      </c>
      <c r="G65" s="61">
        <f>'Oviasennukset ja listoitukset'!B169</f>
        <v>0</v>
      </c>
    </row>
    <row r="66" spans="1:7" x14ac:dyDescent="0.25">
      <c r="A66" s="58" t="s">
        <v>111</v>
      </c>
      <c r="B66" s="61">
        <f>Lattiat!B205</f>
        <v>0</v>
      </c>
      <c r="C66" s="61">
        <f>Lattiat!B208</f>
        <v>0</v>
      </c>
      <c r="E66" s="58" t="s">
        <v>111</v>
      </c>
      <c r="F66" s="61">
        <f>'Oviasennukset ja listoitukset'!B200</f>
        <v>0</v>
      </c>
      <c r="G66" s="61">
        <f>'Oviasennukset ja listoitukset'!B203</f>
        <v>0</v>
      </c>
    </row>
    <row r="67" spans="1:7" x14ac:dyDescent="0.25">
      <c r="A67" s="58" t="s">
        <v>112</v>
      </c>
      <c r="B67" s="61">
        <f>Lattiat!B240</f>
        <v>0</v>
      </c>
      <c r="C67" s="61">
        <f>Lattiat!B243</f>
        <v>0</v>
      </c>
      <c r="D67" s="30"/>
      <c r="E67" s="58" t="s">
        <v>112</v>
      </c>
      <c r="F67" s="61">
        <f>'Oviasennukset ja listoitukset'!B234</f>
        <v>0</v>
      </c>
      <c r="G67" s="61">
        <f>'Oviasennukset ja listoitukset'!B237</f>
        <v>0</v>
      </c>
    </row>
    <row r="68" spans="1:7" x14ac:dyDescent="0.25">
      <c r="A68" s="58" t="s">
        <v>113</v>
      </c>
      <c r="B68" s="61">
        <f>Lattiat!B275</f>
        <v>0</v>
      </c>
      <c r="C68" s="61">
        <f>Lattiat!B278</f>
        <v>0</v>
      </c>
      <c r="E68" s="58" t="s">
        <v>113</v>
      </c>
      <c r="F68" s="61">
        <f>'Oviasennukset ja listoitukset'!B268</f>
        <v>0</v>
      </c>
      <c r="G68" s="61">
        <f>'Oviasennukset ja listoitukset'!B271</f>
        <v>0</v>
      </c>
    </row>
    <row r="69" spans="1:7" x14ac:dyDescent="0.25">
      <c r="A69" s="60"/>
      <c r="B69" s="60"/>
      <c r="C69" s="60"/>
      <c r="D69" s="9"/>
      <c r="E69" s="60"/>
      <c r="F69" s="60"/>
      <c r="G69" s="60"/>
    </row>
    <row r="70" spans="1:7" x14ac:dyDescent="0.25">
      <c r="A70" s="58" t="s">
        <v>115</v>
      </c>
      <c r="B70" s="61">
        <f>SUM(B61:B69)</f>
        <v>17585</v>
      </c>
      <c r="C70" s="61">
        <f>SUM(C61:C69)</f>
        <v>4140</v>
      </c>
      <c r="E70" s="58" t="s">
        <v>115</v>
      </c>
      <c r="F70" s="61">
        <f>SUM(F61:F69)</f>
        <v>9414.4444444444434</v>
      </c>
      <c r="G70" s="61">
        <f>SUM(G61:G69)</f>
        <v>2229.84</v>
      </c>
    </row>
    <row r="71" spans="1:7" x14ac:dyDescent="0.25">
      <c r="A71" s="58" t="s">
        <v>169</v>
      </c>
      <c r="B71" s="41">
        <v>20</v>
      </c>
      <c r="C71" s="41">
        <v>15</v>
      </c>
      <c r="E71" s="58" t="s">
        <v>169</v>
      </c>
      <c r="F71" s="41">
        <v>20</v>
      </c>
      <c r="G71" s="41">
        <v>15</v>
      </c>
    </row>
    <row r="72" spans="1:7" x14ac:dyDescent="0.25">
      <c r="A72" s="84" t="s">
        <v>170</v>
      </c>
      <c r="B72" s="61">
        <f t="shared" ref="B72:G72" si="0">B70/((100-B71)/100)-B70</f>
        <v>4396.25</v>
      </c>
      <c r="C72" s="61">
        <f t="shared" si="0"/>
        <v>730.58823529411802</v>
      </c>
      <c r="D72" s="85"/>
      <c r="E72" s="58" t="s">
        <v>170</v>
      </c>
      <c r="F72" s="61">
        <f t="shared" si="0"/>
        <v>2353.6111111111095</v>
      </c>
      <c r="G72" s="61">
        <f t="shared" si="0"/>
        <v>393.50117647058823</v>
      </c>
    </row>
    <row r="73" spans="1:7" x14ac:dyDescent="0.25">
      <c r="A73" s="60"/>
      <c r="B73" s="60"/>
      <c r="C73" s="60"/>
      <c r="E73" s="58"/>
      <c r="F73" s="60"/>
      <c r="G73" s="60"/>
    </row>
    <row r="74" spans="1:7" x14ac:dyDescent="0.25">
      <c r="A74" s="58" t="s">
        <v>226</v>
      </c>
      <c r="B74" s="67">
        <f t="shared" ref="B74:G74" si="1">B70+B72</f>
        <v>21981.25</v>
      </c>
      <c r="C74" s="67">
        <f t="shared" si="1"/>
        <v>4870.588235294118</v>
      </c>
      <c r="D74" s="85"/>
      <c r="E74" s="58" t="s">
        <v>296</v>
      </c>
      <c r="F74" s="67">
        <f t="shared" si="1"/>
        <v>11768.055555555553</v>
      </c>
      <c r="G74" s="67">
        <f t="shared" si="1"/>
        <v>2623.3411764705884</v>
      </c>
    </row>
    <row r="75" spans="1:7" x14ac:dyDescent="0.25">
      <c r="A75" s="60" t="s">
        <v>656</v>
      </c>
      <c r="B75" s="60"/>
      <c r="C75" s="131">
        <f>C70/B120</f>
        <v>7.7652994875315004E-2</v>
      </c>
      <c r="E75" s="132" t="s">
        <v>656</v>
      </c>
      <c r="F75" s="60"/>
      <c r="G75" s="131">
        <f>G70/B120</f>
        <v>4.182457828327836E-2</v>
      </c>
    </row>
    <row r="76" spans="1:7" x14ac:dyDescent="0.25">
      <c r="A76" s="58" t="s">
        <v>227</v>
      </c>
      <c r="B76" s="60"/>
      <c r="C76" s="64">
        <f>C74/G5</f>
        <v>115.96638655462186</v>
      </c>
      <c r="E76" s="58" t="s">
        <v>297</v>
      </c>
      <c r="F76" s="60"/>
      <c r="G76" s="64">
        <f>G74/G5</f>
        <v>62.460504201680678</v>
      </c>
    </row>
    <row r="78" spans="1:7" x14ac:dyDescent="0.25">
      <c r="A78" s="107" t="s">
        <v>487</v>
      </c>
      <c r="B78" s="41" t="s">
        <v>236</v>
      </c>
      <c r="C78" s="41" t="s">
        <v>76</v>
      </c>
      <c r="E78" s="56" t="s">
        <v>558</v>
      </c>
      <c r="F78" s="98">
        <f>C96+G76+C76+G46+C50+G27+C27+C8</f>
        <v>1441.157030812325</v>
      </c>
    </row>
    <row r="79" spans="1:7" x14ac:dyDescent="0.25">
      <c r="A79" s="58" t="s">
        <v>106</v>
      </c>
      <c r="B79" s="61">
        <f>Laatoitukset!B29</f>
        <v>5092.8100000000004</v>
      </c>
      <c r="C79" s="61">
        <f>Laatoitukset!B32</f>
        <v>4350.2999999999993</v>
      </c>
    </row>
    <row r="80" spans="1:7" x14ac:dyDescent="0.25">
      <c r="A80" s="58" t="s">
        <v>107</v>
      </c>
      <c r="B80" s="61">
        <f>Laatoitukset!B62</f>
        <v>682.88400000000001</v>
      </c>
      <c r="C80" s="61">
        <f>Laatoitukset!B65</f>
        <v>1188.8159999999998</v>
      </c>
    </row>
    <row r="81" spans="1:3" x14ac:dyDescent="0.25">
      <c r="A81" s="58" t="s">
        <v>108</v>
      </c>
      <c r="B81" s="61">
        <f>Laatoitukset!B95</f>
        <v>0</v>
      </c>
      <c r="C81" s="61">
        <f>Laatoitukset!B98</f>
        <v>0</v>
      </c>
    </row>
    <row r="82" spans="1:3" x14ac:dyDescent="0.25">
      <c r="A82" s="58" t="s">
        <v>109</v>
      </c>
      <c r="B82" s="61">
        <f>Laatoitukset!B128</f>
        <v>0</v>
      </c>
      <c r="C82" s="61">
        <f>Laatoitukset!B131</f>
        <v>0</v>
      </c>
    </row>
    <row r="83" spans="1:3" x14ac:dyDescent="0.25">
      <c r="A83" s="58" t="s">
        <v>110</v>
      </c>
      <c r="B83" s="61">
        <f>Laatoitukset!B161</f>
        <v>0</v>
      </c>
      <c r="C83" s="61">
        <f>Laatoitukset!B164</f>
        <v>0</v>
      </c>
    </row>
    <row r="84" spans="1:3" x14ac:dyDescent="0.25">
      <c r="A84" s="58" t="s">
        <v>111</v>
      </c>
      <c r="B84" s="61">
        <f>Laatoitukset!B194</f>
        <v>0</v>
      </c>
      <c r="C84" s="61">
        <f>Laatoitukset!B197</f>
        <v>0</v>
      </c>
    </row>
    <row r="85" spans="1:3" x14ac:dyDescent="0.25">
      <c r="A85" s="58" t="s">
        <v>112</v>
      </c>
      <c r="B85" s="61">
        <f>Laatoitukset!B227</f>
        <v>0</v>
      </c>
      <c r="C85" s="61">
        <f>Laatoitukset!B230</f>
        <v>0</v>
      </c>
    </row>
    <row r="86" spans="1:3" x14ac:dyDescent="0.25">
      <c r="A86" s="58" t="s">
        <v>113</v>
      </c>
      <c r="B86" s="61">
        <f>Laatoitukset!B260</f>
        <v>0</v>
      </c>
      <c r="C86" s="61">
        <f>Laatoitukset!B263</f>
        <v>0</v>
      </c>
    </row>
    <row r="87" spans="1:3" x14ac:dyDescent="0.25">
      <c r="A87" s="58" t="s">
        <v>163</v>
      </c>
      <c r="B87" s="61">
        <f>Laatoitukset!B293</f>
        <v>0</v>
      </c>
      <c r="C87" s="61">
        <f>Laatoitukset!B296</f>
        <v>0</v>
      </c>
    </row>
    <row r="88" spans="1:3" x14ac:dyDescent="0.25">
      <c r="A88" s="58" t="s">
        <v>164</v>
      </c>
      <c r="B88" s="61">
        <f>Laatoitukset!B326</f>
        <v>0</v>
      </c>
      <c r="C88" s="61">
        <f>Laatoitukset!B329</f>
        <v>0</v>
      </c>
    </row>
    <row r="89" spans="1:3" x14ac:dyDescent="0.25">
      <c r="A89" s="60"/>
      <c r="B89" s="60"/>
      <c r="C89" s="60"/>
    </row>
    <row r="90" spans="1:3" x14ac:dyDescent="0.25">
      <c r="A90" s="58" t="s">
        <v>115</v>
      </c>
      <c r="B90" s="61">
        <f>SUM(B79:B89)</f>
        <v>5775.6940000000004</v>
      </c>
      <c r="C90" s="61">
        <f>SUM(C79:C89)</f>
        <v>5539.1159999999991</v>
      </c>
    </row>
    <row r="91" spans="1:3" x14ac:dyDescent="0.25">
      <c r="A91" s="58" t="s">
        <v>169</v>
      </c>
      <c r="B91" s="41">
        <v>20</v>
      </c>
      <c r="C91" s="41">
        <v>15</v>
      </c>
    </row>
    <row r="92" spans="1:3" x14ac:dyDescent="0.25">
      <c r="A92" s="84" t="s">
        <v>170</v>
      </c>
      <c r="B92" s="61">
        <f t="shared" ref="B92:C92" si="2">B90/((100-B91)/100)-B90</f>
        <v>1443.9234999999999</v>
      </c>
      <c r="C92" s="61">
        <f t="shared" si="2"/>
        <v>977.49105882352978</v>
      </c>
    </row>
    <row r="93" spans="1:3" x14ac:dyDescent="0.25">
      <c r="A93" s="60"/>
      <c r="B93" s="60"/>
      <c r="C93" s="60"/>
    </row>
    <row r="94" spans="1:3" x14ac:dyDescent="0.25">
      <c r="A94" s="58" t="s">
        <v>226</v>
      </c>
      <c r="B94" s="67">
        <f t="shared" ref="B94:C94" si="3">B90+B92</f>
        <v>7219.6175000000003</v>
      </c>
      <c r="C94" s="67">
        <f t="shared" si="3"/>
        <v>6516.6070588235289</v>
      </c>
    </row>
    <row r="95" spans="1:3" x14ac:dyDescent="0.25">
      <c r="A95" s="132" t="s">
        <v>656</v>
      </c>
      <c r="B95" s="61"/>
      <c r="C95" s="131">
        <f>C90/B120</f>
        <v>0.10389588076371382</v>
      </c>
    </row>
    <row r="96" spans="1:3" x14ac:dyDescent="0.25">
      <c r="A96" s="58" t="s">
        <v>557</v>
      </c>
      <c r="B96" s="60"/>
      <c r="C96" s="64">
        <f>C94/G5</f>
        <v>155.15731092436974</v>
      </c>
    </row>
    <row r="98" spans="1:5" x14ac:dyDescent="0.25">
      <c r="A98" s="107" t="s">
        <v>491</v>
      </c>
      <c r="B98" s="58" t="s">
        <v>126</v>
      </c>
      <c r="C98" s="58" t="s">
        <v>500</v>
      </c>
      <c r="D98" s="58"/>
      <c r="E98" s="57" t="s">
        <v>499</v>
      </c>
    </row>
    <row r="99" spans="1:5" x14ac:dyDescent="0.25">
      <c r="A99" s="58" t="s">
        <v>106</v>
      </c>
      <c r="B99" s="61">
        <f>Erillishankinnat!C7</f>
        <v>11454.545454545454</v>
      </c>
      <c r="C99" s="71">
        <f>Erillishankinnat!D4</f>
        <v>0</v>
      </c>
      <c r="D99" s="60"/>
      <c r="E99" s="91" t="str">
        <f>Erillishankinnat!B4</f>
        <v>Lasielementit</v>
      </c>
    </row>
    <row r="100" spans="1:5" x14ac:dyDescent="0.25">
      <c r="A100" s="58" t="s">
        <v>107</v>
      </c>
      <c r="B100" s="61">
        <f>Erillishankinnat!C12</f>
        <v>11363.636363636364</v>
      </c>
      <c r="C100" s="71">
        <f>Erillishankinnat!D9</f>
        <v>0</v>
      </c>
      <c r="D100" s="60"/>
      <c r="E100" s="91" t="str">
        <f>Erillishankinnat!B9</f>
        <v>Yleissiivoukset ja loppusiivous</v>
      </c>
    </row>
    <row r="101" spans="1:5" x14ac:dyDescent="0.25">
      <c r="A101" s="58" t="s">
        <v>108</v>
      </c>
      <c r="B101" s="61">
        <f>Erillishankinnat!C17</f>
        <v>6363.636363636364</v>
      </c>
      <c r="C101" s="71">
        <f>Erillishankinnat!D14</f>
        <v>0</v>
      </c>
      <c r="D101" s="60"/>
      <c r="E101" s="91" t="str">
        <f>Erillishankinnat!B14</f>
        <v>2 kpl aluprofiiliovet hissiaulaan</v>
      </c>
    </row>
    <row r="102" spans="1:5" x14ac:dyDescent="0.25">
      <c r="A102" s="58" t="s">
        <v>109</v>
      </c>
      <c r="B102" s="61">
        <f>Erillishankinnat!C22</f>
        <v>0</v>
      </c>
      <c r="C102" s="71">
        <f>Erillishankinnat!D19</f>
        <v>0</v>
      </c>
      <c r="D102" s="60"/>
      <c r="E102" s="91">
        <f>Erillishankinnat!B19</f>
        <v>0</v>
      </c>
    </row>
    <row r="103" spans="1:5" x14ac:dyDescent="0.25">
      <c r="A103" s="58" t="s">
        <v>110</v>
      </c>
      <c r="B103" s="61">
        <f>Erillishankinnat!C27</f>
        <v>0</v>
      </c>
      <c r="C103" s="71">
        <f>Erillishankinnat!D24</f>
        <v>0</v>
      </c>
      <c r="D103" s="60"/>
      <c r="E103" s="91">
        <f>Erillishankinnat!B24</f>
        <v>0</v>
      </c>
    </row>
    <row r="104" spans="1:5" x14ac:dyDescent="0.25">
      <c r="A104" s="58" t="s">
        <v>111</v>
      </c>
      <c r="B104" s="61">
        <f>Erillishankinnat!C32</f>
        <v>0</v>
      </c>
      <c r="C104" s="71">
        <f>Erillishankinnat!D29</f>
        <v>0</v>
      </c>
      <c r="D104" s="60"/>
      <c r="E104" s="91">
        <f>Erillishankinnat!B29</f>
        <v>0</v>
      </c>
    </row>
    <row r="105" spans="1:5" x14ac:dyDescent="0.25">
      <c r="A105" s="58" t="s">
        <v>112</v>
      </c>
      <c r="B105" s="61">
        <f>Erillishankinnat!C37</f>
        <v>0</v>
      </c>
      <c r="C105" s="71">
        <f>Erillishankinnat!D34</f>
        <v>0</v>
      </c>
      <c r="D105" s="60"/>
      <c r="E105" s="91">
        <f>Erillishankinnat!B34</f>
        <v>0</v>
      </c>
    </row>
    <row r="106" spans="1:5" x14ac:dyDescent="0.25">
      <c r="A106" s="58" t="s">
        <v>113</v>
      </c>
      <c r="B106" s="61">
        <f>Erillishankinnat!C42</f>
        <v>0</v>
      </c>
      <c r="C106" s="71">
        <f>Erillishankinnat!D39</f>
        <v>0</v>
      </c>
      <c r="D106" s="60"/>
      <c r="E106" s="91">
        <f>Erillishankinnat!B39</f>
        <v>0</v>
      </c>
    </row>
    <row r="107" spans="1:5" x14ac:dyDescent="0.25">
      <c r="A107" s="58" t="s">
        <v>163</v>
      </c>
      <c r="B107" s="61">
        <f>Erillishankinnat!C47</f>
        <v>0</v>
      </c>
      <c r="C107" s="71">
        <f>Erillishankinnat!D44</f>
        <v>0</v>
      </c>
      <c r="D107" s="60"/>
      <c r="E107" s="91">
        <f>Erillishankinnat!B44</f>
        <v>0</v>
      </c>
    </row>
    <row r="108" spans="1:5" x14ac:dyDescent="0.25">
      <c r="A108" s="58" t="s">
        <v>164</v>
      </c>
      <c r="B108" s="61">
        <f>Erillishankinnat!C52</f>
        <v>0</v>
      </c>
      <c r="C108" s="71">
        <f>Erillishankinnat!D49</f>
        <v>0</v>
      </c>
      <c r="D108" s="60"/>
      <c r="E108" s="91">
        <f>Erillishankinnat!B49</f>
        <v>0</v>
      </c>
    </row>
    <row r="109" spans="1:5" x14ac:dyDescent="0.25">
      <c r="A109" s="58" t="s">
        <v>165</v>
      </c>
      <c r="B109" s="61">
        <f>Erillishankinnat!C57</f>
        <v>0</v>
      </c>
      <c r="C109" s="71">
        <f>Erillishankinnat!D54</f>
        <v>0</v>
      </c>
      <c r="D109" s="60"/>
      <c r="E109" s="91">
        <f>Erillishankinnat!B54</f>
        <v>0</v>
      </c>
    </row>
    <row r="110" spans="1:5" x14ac:dyDescent="0.25">
      <c r="A110" s="58" t="s">
        <v>166</v>
      </c>
      <c r="B110" s="61">
        <f>Erillishankinnat!C62</f>
        <v>0</v>
      </c>
      <c r="C110" s="71">
        <f>Erillishankinnat!C59</f>
        <v>0</v>
      </c>
      <c r="D110" s="60"/>
      <c r="E110" s="91">
        <f>Erillishankinnat!B59</f>
        <v>0</v>
      </c>
    </row>
    <row r="111" spans="1:5" x14ac:dyDescent="0.25">
      <c r="A111" s="58" t="s">
        <v>495</v>
      </c>
      <c r="B111" s="61">
        <f>Erillishankinnat!C67</f>
        <v>0</v>
      </c>
      <c r="C111" s="71">
        <f>Erillishankinnat!C64</f>
        <v>0</v>
      </c>
      <c r="D111" s="60"/>
      <c r="E111" s="91">
        <f>Erillishankinnat!B64</f>
        <v>0</v>
      </c>
    </row>
    <row r="112" spans="1:5" x14ac:dyDescent="0.25">
      <c r="A112" s="58" t="s">
        <v>496</v>
      </c>
      <c r="B112" s="61">
        <f>Erillishankinnat!C72</f>
        <v>0</v>
      </c>
      <c r="C112" s="71">
        <f>Erillishankinnat!C69</f>
        <v>0</v>
      </c>
      <c r="D112" s="60"/>
      <c r="E112" s="91">
        <f>Erillishankinnat!B69</f>
        <v>0</v>
      </c>
    </row>
    <row r="113" spans="1:5" x14ac:dyDescent="0.25">
      <c r="A113" s="58" t="s">
        <v>497</v>
      </c>
      <c r="B113" s="61">
        <f>Erillishankinnat!C77</f>
        <v>0</v>
      </c>
      <c r="C113" s="71">
        <f>Erillishankinnat!C74</f>
        <v>0</v>
      </c>
      <c r="D113" s="60"/>
      <c r="E113" s="91">
        <f>Erillishankinnat!B74</f>
        <v>0</v>
      </c>
    </row>
    <row r="114" spans="1:5" x14ac:dyDescent="0.25">
      <c r="A114" s="66"/>
      <c r="B114" s="66"/>
    </row>
    <row r="115" spans="1:5" x14ac:dyDescent="0.25">
      <c r="A115" s="58" t="s">
        <v>498</v>
      </c>
      <c r="B115" s="61">
        <f>SUM(B99:B114)</f>
        <v>29181.81818181818</v>
      </c>
    </row>
    <row r="118" spans="1:5" x14ac:dyDescent="0.25">
      <c r="A118" s="1" t="s">
        <v>559</v>
      </c>
    </row>
    <row r="119" spans="1:5" x14ac:dyDescent="0.25">
      <c r="A119" s="100" t="s">
        <v>560</v>
      </c>
      <c r="B119" s="100" t="s">
        <v>536</v>
      </c>
      <c r="C119" s="100" t="s">
        <v>236</v>
      </c>
      <c r="D119" s="108"/>
      <c r="E119" s="100" t="s">
        <v>491</v>
      </c>
    </row>
    <row r="120" spans="1:5" x14ac:dyDescent="0.25">
      <c r="B120" s="30">
        <f>C7+C21+G21+C44+G40+C70+G70+C90</f>
        <v>53314.105999999992</v>
      </c>
      <c r="C120" s="30">
        <f>C10+B21+F21+B44+F40+B70+F70+B90</f>
        <v>67826.531179999991</v>
      </c>
      <c r="E120" s="30">
        <f>Erillishankinnat!C4+Erillishankinnat!C9+Erillishankinnat!C14+Erillishankinnat!C19+Erillishankinnat!C24+Erillishankinnat!C29+Erillishankinnat!C34+Erillishankinnat!C39+Erillishankinnat!C44+Erillishankinnat!C49+Erillishankinnat!C54+Erillishankinnat!C59+Erillishankinnat!C64+Erillishankinnat!C69+Erillishankinnat!C74</f>
        <v>25680</v>
      </c>
    </row>
    <row r="122" spans="1:5" x14ac:dyDescent="0.25">
      <c r="A122" s="100" t="s">
        <v>115</v>
      </c>
      <c r="B122" s="101">
        <f>B120+C120+E120</f>
        <v>146820.63717999999</v>
      </c>
    </row>
    <row r="124" spans="1:5" x14ac:dyDescent="0.25">
      <c r="A124" s="100" t="s">
        <v>170</v>
      </c>
      <c r="B124" s="100" t="s">
        <v>76</v>
      </c>
      <c r="C124" s="100" t="s">
        <v>236</v>
      </c>
      <c r="D124" s="108"/>
      <c r="E124" s="100" t="s">
        <v>491</v>
      </c>
    </row>
    <row r="125" spans="1:5" x14ac:dyDescent="0.25">
      <c r="B125" s="30">
        <f>C23+G23+C46+G42+C72+G72+C92</f>
        <v>7214.4892941176486</v>
      </c>
      <c r="C125" s="30">
        <f>C12+B23+F23+B46+F42+B72+F72+B92</f>
        <v>16613.397500882351</v>
      </c>
      <c r="E125" s="30">
        <f>Erillishankinnat!C6+Erillishankinnat!C11+Erillishankinnat!C16+Erillishankinnat!C21+Erillishankinnat!C26+Erillishankinnat!C31+Erillishankinnat!C36+Erillishankinnat!C41+Erillishankinnat!C46+Erillishankinnat!C51+Erillishankinnat!C56+Erillishankinnat!C61+Erillishankinnat!C66+Erillishankinnat!C71+Erillishankinnat!C76</f>
        <v>3501.818181818182</v>
      </c>
    </row>
    <row r="127" spans="1:5" x14ac:dyDescent="0.25">
      <c r="A127" s="100" t="s">
        <v>561</v>
      </c>
      <c r="B127" s="101">
        <f>B125+C125+E125</f>
        <v>27329.704976818182</v>
      </c>
    </row>
    <row r="129" spans="1:2" x14ac:dyDescent="0.25">
      <c r="A129" s="102" t="s">
        <v>562</v>
      </c>
      <c r="B129" s="103">
        <f>B122+B127</f>
        <v>174150.34215681817</v>
      </c>
    </row>
    <row r="131" spans="1:2" x14ac:dyDescent="0.25">
      <c r="A131" s="100" t="s">
        <v>169</v>
      </c>
      <c r="B131" s="109">
        <f>(B129/B122-1)*100</f>
        <v>18.614348433396554</v>
      </c>
    </row>
  </sheetData>
  <phoneticPr fontId="5" type="noConversion"/>
  <pageMargins left="0.7" right="0.7" top="0.75" bottom="0.75" header="0.3" footer="0.3"/>
  <pageSetup paperSize="9" scale="84" orientation="portrait" horizontalDpi="1200" verticalDpi="1200" r:id="rId1"/>
  <rowBreaks count="2" manualBreakCount="2">
    <brk id="59" max="6" man="1"/>
    <brk id="117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BE35-BF98-4681-B65E-E355FF8D863A}">
  <dimension ref="A3:D41"/>
  <sheetViews>
    <sheetView showZeros="0" zoomScaleNormal="100" workbookViewId="0">
      <selection activeCell="A14" sqref="A14"/>
    </sheetView>
  </sheetViews>
  <sheetFormatPr defaultColWidth="8.85546875" defaultRowHeight="15" x14ac:dyDescent="0.25"/>
  <cols>
    <col min="1" max="1" width="25.85546875" customWidth="1"/>
    <col min="3" max="3" width="14.5703125" customWidth="1"/>
    <col min="4" max="4" width="20.42578125" customWidth="1"/>
  </cols>
  <sheetData>
    <row r="3" spans="1:3" x14ac:dyDescent="0.25">
      <c r="A3" s="1" t="s">
        <v>488</v>
      </c>
    </row>
    <row r="5" spans="1:3" x14ac:dyDescent="0.25">
      <c r="A5" s="43" t="s">
        <v>489</v>
      </c>
    </row>
    <row r="7" spans="1:3" x14ac:dyDescent="0.25">
      <c r="A7" t="s">
        <v>588</v>
      </c>
    </row>
    <row r="8" spans="1:3" x14ac:dyDescent="0.25">
      <c r="A8" t="s">
        <v>589</v>
      </c>
    </row>
    <row r="9" spans="1:3" x14ac:dyDescent="0.25">
      <c r="A9" s="39"/>
    </row>
    <row r="16" spans="1:3" x14ac:dyDescent="0.25">
      <c r="A16" s="1" t="s">
        <v>490</v>
      </c>
      <c r="C16" s="1" t="s">
        <v>126</v>
      </c>
    </row>
    <row r="18" spans="1:4" x14ac:dyDescent="0.25">
      <c r="A18" s="60" t="s">
        <v>536</v>
      </c>
      <c r="B18" s="60"/>
      <c r="C18" s="61">
        <f>Eritelysivu!C7+Eritelysivu!C25+Eritelysivu!G25+Eritelysivu!C48+Eritelysivu!G44+Eritelysivu!C74+Eritelysivu!G74+Eritelysivu!C94</f>
        <v>60528.595294117651</v>
      </c>
      <c r="D18" s="30"/>
    </row>
    <row r="19" spans="1:4" x14ac:dyDescent="0.25">
      <c r="A19" s="60" t="s">
        <v>236</v>
      </c>
      <c r="B19" s="60"/>
      <c r="C19" s="61">
        <f>Eritelysivu!C14+Eritelysivu!B25+Eritelysivu!F25+Eritelysivu!B48+Eritelysivu!F44+Eritelysivu!B74+Eritelysivu!F74+Eritelysivu!B94</f>
        <v>84439.928680882353</v>
      </c>
    </row>
    <row r="20" spans="1:4" x14ac:dyDescent="0.25">
      <c r="A20" s="60"/>
      <c r="B20" s="60"/>
      <c r="C20" s="60"/>
    </row>
    <row r="21" spans="1:4" x14ac:dyDescent="0.25">
      <c r="A21" s="60" t="s">
        <v>115</v>
      </c>
      <c r="B21" s="60"/>
      <c r="C21" s="61">
        <f>SUM(C18:C20)</f>
        <v>144968.52397500002</v>
      </c>
    </row>
    <row r="23" spans="1:4" x14ac:dyDescent="0.25">
      <c r="A23" s="1" t="s">
        <v>491</v>
      </c>
      <c r="C23" t="s">
        <v>126</v>
      </c>
      <c r="D23" t="s">
        <v>537</v>
      </c>
    </row>
    <row r="24" spans="1:4" x14ac:dyDescent="0.25">
      <c r="A24" s="60">
        <f>Eritelysivu!C99</f>
        <v>0</v>
      </c>
      <c r="B24" s="60"/>
      <c r="C24" s="61">
        <f>Eritelysivu!B99</f>
        <v>11454.545454545454</v>
      </c>
      <c r="D24" s="69" t="str">
        <f>Eritelysivu!E99</f>
        <v>Lasielementit</v>
      </c>
    </row>
    <row r="25" spans="1:4" x14ac:dyDescent="0.25">
      <c r="A25" s="60">
        <f>Eritelysivu!C100</f>
        <v>0</v>
      </c>
      <c r="B25" s="60"/>
      <c r="C25" s="61">
        <f>Eritelysivu!B100</f>
        <v>11363.636363636364</v>
      </c>
      <c r="D25" t="str">
        <f>Eritelysivu!E100</f>
        <v>Yleissiivoukset ja loppusiivous</v>
      </c>
    </row>
    <row r="26" spans="1:4" x14ac:dyDescent="0.25">
      <c r="A26" s="60">
        <f>Eritelysivu!C101</f>
        <v>0</v>
      </c>
      <c r="B26" s="60"/>
      <c r="C26" s="61">
        <f>Eritelysivu!B101</f>
        <v>6363.636363636364</v>
      </c>
      <c r="D26" t="str">
        <f>Eritelysivu!E101</f>
        <v>2 kpl aluprofiiliovet hissiaulaan</v>
      </c>
    </row>
    <row r="27" spans="1:4" x14ac:dyDescent="0.25">
      <c r="A27" s="60">
        <f>Eritelysivu!C102</f>
        <v>0</v>
      </c>
      <c r="B27" s="60"/>
      <c r="C27" s="61">
        <f>Eritelysivu!B102</f>
        <v>0</v>
      </c>
      <c r="D27">
        <f>Eritelysivu!E102</f>
        <v>0</v>
      </c>
    </row>
    <row r="28" spans="1:4" x14ac:dyDescent="0.25">
      <c r="A28" s="60">
        <f>Eritelysivu!C103</f>
        <v>0</v>
      </c>
      <c r="B28" s="60"/>
      <c r="C28" s="61">
        <f>Eritelysivu!B103</f>
        <v>0</v>
      </c>
      <c r="D28">
        <f>Eritelysivu!E103</f>
        <v>0</v>
      </c>
    </row>
    <row r="29" spans="1:4" x14ac:dyDescent="0.25">
      <c r="A29" s="60">
        <f>Eritelysivu!C104</f>
        <v>0</v>
      </c>
      <c r="B29" s="60"/>
      <c r="C29" s="61">
        <f>Eritelysivu!B104</f>
        <v>0</v>
      </c>
      <c r="D29">
        <f>Eritelysivu!E104</f>
        <v>0</v>
      </c>
    </row>
    <row r="30" spans="1:4" x14ac:dyDescent="0.25">
      <c r="A30" s="60">
        <f>Eritelysivu!C105</f>
        <v>0</v>
      </c>
      <c r="B30" s="60"/>
      <c r="C30" s="61">
        <f>Eritelysivu!B105</f>
        <v>0</v>
      </c>
      <c r="D30">
        <f>Eritelysivu!E105</f>
        <v>0</v>
      </c>
    </row>
    <row r="31" spans="1:4" x14ac:dyDescent="0.25">
      <c r="A31" s="60">
        <f>Eritelysivu!C106</f>
        <v>0</v>
      </c>
      <c r="B31" s="60"/>
      <c r="C31" s="61">
        <f>Eritelysivu!B106</f>
        <v>0</v>
      </c>
      <c r="D31">
        <f>Eritelysivu!E106</f>
        <v>0</v>
      </c>
    </row>
    <row r="32" spans="1:4" x14ac:dyDescent="0.25">
      <c r="A32" s="60">
        <f>Eritelysivu!C107</f>
        <v>0</v>
      </c>
      <c r="B32" s="60"/>
      <c r="C32" s="61">
        <f>Eritelysivu!B107</f>
        <v>0</v>
      </c>
      <c r="D32">
        <f>Eritelysivu!E107</f>
        <v>0</v>
      </c>
    </row>
    <row r="33" spans="1:4" x14ac:dyDescent="0.25">
      <c r="A33" s="60">
        <f>Eritelysivu!C108</f>
        <v>0</v>
      </c>
      <c r="B33" s="60"/>
      <c r="C33" s="61">
        <f>Eritelysivu!B108</f>
        <v>0</v>
      </c>
      <c r="D33">
        <f>Eritelysivu!E108</f>
        <v>0</v>
      </c>
    </row>
    <row r="34" spans="1:4" x14ac:dyDescent="0.25">
      <c r="A34" s="60">
        <f>Eritelysivu!C109</f>
        <v>0</v>
      </c>
      <c r="B34" s="60"/>
      <c r="C34" s="61">
        <f>Eritelysivu!B109</f>
        <v>0</v>
      </c>
      <c r="D34">
        <f>Eritelysivu!E109</f>
        <v>0</v>
      </c>
    </row>
    <row r="35" spans="1:4" x14ac:dyDescent="0.25">
      <c r="A35" s="60">
        <f>Eritelysivu!C110</f>
        <v>0</v>
      </c>
      <c r="B35" s="60"/>
      <c r="C35" s="61">
        <f>Eritelysivu!B110</f>
        <v>0</v>
      </c>
      <c r="D35">
        <f>Eritelysivu!E110</f>
        <v>0</v>
      </c>
    </row>
    <row r="36" spans="1:4" x14ac:dyDescent="0.25">
      <c r="A36" s="60">
        <f>Eritelysivu!C111</f>
        <v>0</v>
      </c>
      <c r="B36" s="60"/>
      <c r="C36" s="61">
        <f>Eritelysivu!B111</f>
        <v>0</v>
      </c>
      <c r="D36">
        <f>Eritelysivu!E111</f>
        <v>0</v>
      </c>
    </row>
    <row r="37" spans="1:4" x14ac:dyDescent="0.25">
      <c r="A37" s="60">
        <f>Eritelysivu!C112</f>
        <v>0</v>
      </c>
      <c r="B37" s="60"/>
      <c r="C37" s="61">
        <f>Eritelysivu!B112</f>
        <v>0</v>
      </c>
      <c r="D37">
        <f>Eritelysivu!E112</f>
        <v>0</v>
      </c>
    </row>
    <row r="38" spans="1:4" x14ac:dyDescent="0.25">
      <c r="A38" s="60">
        <f>Eritelysivu!C113</f>
        <v>0</v>
      </c>
      <c r="B38" s="60"/>
      <c r="C38" s="61">
        <f>Eritelysivu!B113</f>
        <v>0</v>
      </c>
      <c r="D38">
        <f>Eritelysivu!E113</f>
        <v>0</v>
      </c>
    </row>
    <row r="39" spans="1:4" x14ac:dyDescent="0.25">
      <c r="A39" s="58" t="s">
        <v>586</v>
      </c>
      <c r="B39" s="58"/>
      <c r="C39" s="67">
        <f>SUM(C24:C38)</f>
        <v>29181.81818181818</v>
      </c>
    </row>
    <row r="40" spans="1:4" x14ac:dyDescent="0.25">
      <c r="A40" s="1"/>
      <c r="B40" s="1"/>
      <c r="C40" s="1"/>
    </row>
    <row r="41" spans="1:4" x14ac:dyDescent="0.25">
      <c r="A41" s="100" t="s">
        <v>587</v>
      </c>
      <c r="B41" s="100"/>
      <c r="C41" s="101">
        <f>C21+C39</f>
        <v>174150.34215681819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A38D-0876-4412-ADD1-821A90CECD89}">
  <sheetPr filterMode="1"/>
  <dimension ref="A1:P365"/>
  <sheetViews>
    <sheetView showZeros="0" topLeftCell="B1" workbookViewId="0">
      <selection activeCell="F10" sqref="F10"/>
    </sheetView>
  </sheetViews>
  <sheetFormatPr defaultColWidth="8.85546875" defaultRowHeight="15" x14ac:dyDescent="0.25"/>
  <cols>
    <col min="1" max="1" width="13" customWidth="1"/>
    <col min="2" max="2" width="2.140625" customWidth="1"/>
    <col min="3" max="3" width="50.42578125" customWidth="1"/>
    <col min="4" max="4" width="13.140625" hidden="1" customWidth="1"/>
    <col min="5" max="5" width="16.140625" style="4" customWidth="1"/>
    <col min="6" max="6" width="12.42578125" customWidth="1"/>
    <col min="7" max="8" width="9.42578125" bestFit="1" customWidth="1"/>
    <col min="9" max="14" width="9" bestFit="1" customWidth="1"/>
  </cols>
  <sheetData>
    <row r="1" spans="1:16" x14ac:dyDescent="0.25">
      <c r="C1" s="1" t="s">
        <v>538</v>
      </c>
      <c r="F1" s="93" t="s">
        <v>553</v>
      </c>
      <c r="G1" s="94"/>
      <c r="H1" s="94"/>
    </row>
    <row r="2" spans="1:16" hidden="1" x14ac:dyDescent="0.25">
      <c r="G2" s="1" t="s">
        <v>548</v>
      </c>
    </row>
    <row r="3" spans="1:16" x14ac:dyDescent="0.25">
      <c r="A3" s="1" t="s">
        <v>105</v>
      </c>
      <c r="B3" s="1"/>
      <c r="C3" s="1" t="s">
        <v>539</v>
      </c>
      <c r="D3" s="1" t="s">
        <v>115</v>
      </c>
      <c r="E3" s="13" t="s">
        <v>115</v>
      </c>
      <c r="F3" s="1"/>
      <c r="G3" s="95" t="s">
        <v>106</v>
      </c>
      <c r="H3" s="13" t="s">
        <v>107</v>
      </c>
      <c r="I3" s="95" t="s">
        <v>108</v>
      </c>
      <c r="J3" s="13" t="s">
        <v>109</v>
      </c>
      <c r="K3" s="95" t="s">
        <v>110</v>
      </c>
      <c r="L3" s="13" t="s">
        <v>111</v>
      </c>
      <c r="M3" s="95" t="s">
        <v>112</v>
      </c>
      <c r="N3" s="13" t="s">
        <v>113</v>
      </c>
    </row>
    <row r="4" spans="1:16" x14ac:dyDescent="0.25">
      <c r="C4" s="69" t="s">
        <v>5</v>
      </c>
      <c r="D4" s="33">
        <f>SUM(G4:N4)</f>
        <v>1553.2</v>
      </c>
      <c r="E4" s="9">
        <f>ROUNDUP(D4,0)</f>
        <v>1554</v>
      </c>
      <c r="F4" s="33"/>
      <c r="G4" s="9">
        <f>'Väliseinät sisällä'!H7</f>
        <v>1553.2</v>
      </c>
      <c r="H4" s="9">
        <f>'Väliseinät sisällä'!H52</f>
        <v>0</v>
      </c>
      <c r="I4" s="96">
        <f>'Väliseinät sisällä'!H96</f>
        <v>0</v>
      </c>
      <c r="J4" s="96">
        <f>'Väliseinät sisällä'!H139</f>
        <v>0</v>
      </c>
      <c r="K4" s="96">
        <f>'Väliseinät sisällä'!H182</f>
        <v>0</v>
      </c>
      <c r="L4" s="96">
        <f>'Väliseinät sisällä'!H225</f>
        <v>0</v>
      </c>
      <c r="M4" s="96">
        <f>'Väliseinät sisällä'!H268</f>
        <v>0</v>
      </c>
      <c r="N4" s="96">
        <f>'Väliseinät sisällä'!H311</f>
        <v>0</v>
      </c>
      <c r="P4" s="69"/>
    </row>
    <row r="5" spans="1:16" x14ac:dyDescent="0.25">
      <c r="C5" s="69" t="s">
        <v>7</v>
      </c>
      <c r="D5" s="33">
        <f>SUM(G5:N5)</f>
        <v>680.30270000000007</v>
      </c>
      <c r="E5" s="9">
        <f t="shared" ref="E5:E26" si="0">ROUNDUP(D5,0)</f>
        <v>681</v>
      </c>
      <c r="F5" s="33"/>
      <c r="G5" s="9">
        <f>'Väliseinät sisällä'!H8</f>
        <v>680.30270000000007</v>
      </c>
      <c r="H5" s="9">
        <f>'Väliseinät sisällä'!H53</f>
        <v>0</v>
      </c>
      <c r="I5" s="96">
        <f>'Väliseinät sisällä'!H97</f>
        <v>0</v>
      </c>
      <c r="J5" s="96">
        <f>'Väliseinät sisällä'!H140</f>
        <v>0</v>
      </c>
      <c r="K5" s="96">
        <f>'Väliseinät sisällä'!H183</f>
        <v>0</v>
      </c>
      <c r="L5" s="96">
        <f>'Väliseinät sisällä'!H226</f>
        <v>0</v>
      </c>
      <c r="M5" s="96">
        <f>'Väliseinät sisällä'!H269</f>
        <v>0</v>
      </c>
      <c r="N5" s="96">
        <f>'Väliseinät sisällä'!H312</f>
        <v>0</v>
      </c>
      <c r="P5" s="69"/>
    </row>
    <row r="6" spans="1:16" x14ac:dyDescent="0.25">
      <c r="C6" s="69" t="s">
        <v>9</v>
      </c>
      <c r="D6" s="33">
        <f>SUM(G6:N6)</f>
        <v>311.78950000000009</v>
      </c>
      <c r="E6" s="9">
        <f t="shared" si="0"/>
        <v>312</v>
      </c>
      <c r="F6" s="33"/>
      <c r="G6" s="9">
        <f>'Väliseinät sisällä'!H9</f>
        <v>311.78950000000009</v>
      </c>
      <c r="H6" s="9">
        <f>'Väliseinät sisällä'!H54</f>
        <v>0</v>
      </c>
      <c r="I6" s="96">
        <f>'Väliseinät sisällä'!H98</f>
        <v>0</v>
      </c>
      <c r="J6" s="96">
        <f>'Väliseinät sisällä'!H141</f>
        <v>0</v>
      </c>
      <c r="K6" s="96">
        <f>'Väliseinät sisällä'!H184</f>
        <v>0</v>
      </c>
      <c r="L6" s="96">
        <f>'Väliseinät sisällä'!H227</f>
        <v>0</v>
      </c>
      <c r="M6" s="96">
        <f>'Väliseinät sisällä'!H270</f>
        <v>0</v>
      </c>
      <c r="N6" s="96">
        <f>'Väliseinät sisällä'!H313</f>
        <v>0</v>
      </c>
      <c r="P6" s="69"/>
    </row>
    <row r="7" spans="1:16" x14ac:dyDescent="0.25">
      <c r="C7" s="69" t="s">
        <v>11</v>
      </c>
      <c r="D7" s="33">
        <f>SUM(G7:N7)</f>
        <v>368.50000000000006</v>
      </c>
      <c r="E7" s="9">
        <f t="shared" si="0"/>
        <v>369</v>
      </c>
      <c r="F7" s="33"/>
      <c r="G7" s="9">
        <f>'Väliseinät sisällä'!H10</f>
        <v>368.50000000000006</v>
      </c>
      <c r="H7" s="9">
        <f>'Väliseinät sisällä'!H55</f>
        <v>0</v>
      </c>
      <c r="I7" s="96">
        <f>'Väliseinät sisällä'!H99</f>
        <v>0</v>
      </c>
      <c r="J7" s="96">
        <f>'Väliseinät sisällä'!H142</f>
        <v>0</v>
      </c>
      <c r="K7" s="96">
        <f>'Väliseinät sisällä'!H185</f>
        <v>0</v>
      </c>
      <c r="L7" s="96">
        <f>'Väliseinät sisällä'!H228</f>
        <v>0</v>
      </c>
      <c r="M7" s="96">
        <f>'Väliseinät sisällä'!H271</f>
        <v>0</v>
      </c>
      <c r="N7" s="96">
        <f>'Väliseinät sisällä'!H314</f>
        <v>0</v>
      </c>
      <c r="P7" s="69"/>
    </row>
    <row r="8" spans="1:16" x14ac:dyDescent="0.25">
      <c r="C8" s="69" t="s">
        <v>13</v>
      </c>
      <c r="D8" s="33">
        <f>SUM(G8:N8)/1000</f>
        <v>24.486000000000004</v>
      </c>
      <c r="E8" s="9">
        <f t="shared" si="0"/>
        <v>25</v>
      </c>
      <c r="F8" s="33"/>
      <c r="G8" s="9">
        <f>'Väliseinät sisällä'!H11</f>
        <v>24486.000000000004</v>
      </c>
      <c r="H8" s="9">
        <f>'Väliseinät sisällä'!H56</f>
        <v>0</v>
      </c>
      <c r="I8" s="96">
        <f>'Väliseinät sisällä'!H100</f>
        <v>0</v>
      </c>
      <c r="J8" s="96">
        <f>'Väliseinät sisällä'!H143</f>
        <v>0</v>
      </c>
      <c r="K8" s="96">
        <f>'Väliseinät sisällä'!H186</f>
        <v>0</v>
      </c>
      <c r="L8" s="96">
        <f>'Väliseinät sisällä'!H229</f>
        <v>0</v>
      </c>
      <c r="M8" s="96">
        <f>'Väliseinät sisällä'!H272</f>
        <v>0</v>
      </c>
      <c r="N8" s="96">
        <f>'Väliseinät sisällä'!H315</f>
        <v>0</v>
      </c>
      <c r="P8" s="69"/>
    </row>
    <row r="9" spans="1:16" x14ac:dyDescent="0.25">
      <c r="C9" s="69" t="s">
        <v>15</v>
      </c>
      <c r="D9" s="33">
        <f>SUM(G9:N9)</f>
        <v>137.18738000000005</v>
      </c>
      <c r="E9" s="9">
        <f t="shared" si="0"/>
        <v>138</v>
      </c>
      <c r="F9" s="33"/>
      <c r="G9" s="9">
        <f>'Väliseinät sisällä'!H12</f>
        <v>137.18738000000005</v>
      </c>
      <c r="H9" s="9">
        <f>'Väliseinät sisällä'!H57</f>
        <v>0</v>
      </c>
      <c r="I9" s="96">
        <f>'Väliseinät sisällä'!H101</f>
        <v>0</v>
      </c>
      <c r="J9" s="96">
        <f>'Väliseinät sisällä'!H144</f>
        <v>0</v>
      </c>
      <c r="K9" s="96">
        <f>'Väliseinät sisällä'!H187</f>
        <v>0</v>
      </c>
      <c r="L9" s="96">
        <f>'Väliseinät sisällä'!H230</f>
        <v>0</v>
      </c>
      <c r="M9" s="96">
        <f>'Väliseinät sisällä'!H273</f>
        <v>0</v>
      </c>
      <c r="N9" s="96">
        <f>'Väliseinät sisällä'!H316</f>
        <v>0</v>
      </c>
      <c r="P9" s="69"/>
    </row>
    <row r="10" spans="1:16" x14ac:dyDescent="0.25">
      <c r="C10" s="69" t="s">
        <v>71</v>
      </c>
      <c r="D10" s="33">
        <f>SUM(G10:N10)</f>
        <v>110.00000000000001</v>
      </c>
      <c r="E10" s="9">
        <f t="shared" si="0"/>
        <v>110</v>
      </c>
      <c r="F10" s="33"/>
      <c r="G10" s="9">
        <f>'Väliseinät sisällä'!H13</f>
        <v>110.00000000000001</v>
      </c>
      <c r="H10" s="9">
        <f>'Väliseinät sisällä'!H58</f>
        <v>0</v>
      </c>
      <c r="I10" s="96">
        <f>'Väliseinät sisällä'!H102</f>
        <v>0</v>
      </c>
      <c r="J10" s="96">
        <f>'Väliseinät sisällä'!H145</f>
        <v>0</v>
      </c>
      <c r="K10" s="96">
        <f>'Väliseinät sisällä'!H188</f>
        <v>0</v>
      </c>
      <c r="L10" s="96">
        <f>'Väliseinät sisällä'!H231</f>
        <v>0</v>
      </c>
      <c r="M10" s="96">
        <f>'Väliseinät sisällä'!H274</f>
        <v>0</v>
      </c>
      <c r="N10" s="96">
        <f>'Väliseinät sisällä'!H317</f>
        <v>0</v>
      </c>
      <c r="P10" s="69"/>
    </row>
    <row r="11" spans="1:16" x14ac:dyDescent="0.25">
      <c r="C11" s="69" t="s">
        <v>16</v>
      </c>
      <c r="D11" s="33">
        <f>SUM(G11:N11)</f>
        <v>0</v>
      </c>
      <c r="E11" s="9">
        <f t="shared" si="0"/>
        <v>0</v>
      </c>
      <c r="F11" s="33"/>
      <c r="G11" s="9">
        <f>'Väliseinät sisällä'!H14</f>
        <v>0</v>
      </c>
      <c r="H11" s="9">
        <f>'Väliseinät sisällä'!H59</f>
        <v>0</v>
      </c>
      <c r="I11" s="96">
        <f>'Väliseinät sisällä'!H103</f>
        <v>0</v>
      </c>
      <c r="J11" s="96">
        <f>'Väliseinät sisällä'!H146</f>
        <v>0</v>
      </c>
      <c r="K11" s="96">
        <f>'Väliseinät sisällä'!H189</f>
        <v>0</v>
      </c>
      <c r="L11" s="96">
        <f>'Väliseinät sisällä'!H232</f>
        <v>0</v>
      </c>
      <c r="M11" s="96">
        <f>'Väliseinät sisällä'!H275</f>
        <v>0</v>
      </c>
      <c r="N11" s="96">
        <f>'Väliseinät sisällä'!H318</f>
        <v>0</v>
      </c>
      <c r="P11" s="69"/>
    </row>
    <row r="12" spans="1:16" x14ac:dyDescent="0.25">
      <c r="C12" s="69" t="s">
        <v>95</v>
      </c>
      <c r="D12" s="33">
        <f>SUM(G12:N12)</f>
        <v>1039.2983333333336</v>
      </c>
      <c r="E12" s="9">
        <f t="shared" si="0"/>
        <v>1040</v>
      </c>
      <c r="F12" s="33"/>
      <c r="G12" s="9">
        <f>'Väliseinät sisällä'!H15</f>
        <v>1039.2983333333336</v>
      </c>
      <c r="H12" s="9">
        <f>'Väliseinät sisällä'!H60</f>
        <v>0</v>
      </c>
      <c r="I12" s="96">
        <f>'Väliseinät sisällä'!H104</f>
        <v>0</v>
      </c>
      <c r="J12" s="96">
        <f>'Väliseinät sisällä'!H147</f>
        <v>0</v>
      </c>
      <c r="K12" s="96">
        <f>'Väliseinät sisällä'!H190</f>
        <v>0</v>
      </c>
      <c r="L12" s="96">
        <f>'Väliseinät sisällä'!H233</f>
        <v>0</v>
      </c>
      <c r="M12" s="96">
        <f>'Väliseinät sisällä'!H276</f>
        <v>0</v>
      </c>
      <c r="N12" s="96">
        <f>'Väliseinät sisällä'!H319</f>
        <v>0</v>
      </c>
      <c r="P12" s="69"/>
    </row>
    <row r="13" spans="1:16" hidden="1" x14ac:dyDescent="0.25">
      <c r="C13" s="69"/>
      <c r="D13" s="33"/>
      <c r="E13" s="9"/>
      <c r="F13" s="33"/>
      <c r="G13" s="9"/>
      <c r="H13" s="9"/>
      <c r="I13" s="96"/>
      <c r="J13" s="96"/>
      <c r="K13" s="96"/>
      <c r="L13" s="96"/>
      <c r="M13" s="96"/>
      <c r="N13" s="96"/>
      <c r="P13" s="69"/>
    </row>
    <row r="14" spans="1:16" x14ac:dyDescent="0.25">
      <c r="C14" s="69" t="s">
        <v>546</v>
      </c>
      <c r="D14" s="33">
        <f>'Väliseinät sisällä'!B32</f>
        <v>4</v>
      </c>
      <c r="E14" s="9">
        <f t="shared" si="0"/>
        <v>4</v>
      </c>
      <c r="F14" s="33"/>
      <c r="G14" s="9"/>
      <c r="H14" s="9"/>
      <c r="I14" s="96"/>
      <c r="J14" s="96"/>
      <c r="K14" s="96"/>
      <c r="L14" s="96"/>
      <c r="M14" s="96"/>
      <c r="N14" s="96"/>
      <c r="P14" s="69"/>
    </row>
    <row r="15" spans="1:16" x14ac:dyDescent="0.25">
      <c r="C15" s="69" t="s">
        <v>547</v>
      </c>
      <c r="D15" s="33">
        <f>'Väliseinät sisällä'!B33</f>
        <v>5</v>
      </c>
      <c r="E15" s="9">
        <f t="shared" si="0"/>
        <v>5</v>
      </c>
      <c r="F15" s="33"/>
      <c r="G15" s="9"/>
      <c r="H15" s="9"/>
      <c r="I15" s="96"/>
      <c r="J15" s="96"/>
      <c r="K15" s="96"/>
      <c r="L15" s="96"/>
      <c r="M15" s="96"/>
      <c r="N15" s="96"/>
      <c r="P15" s="69"/>
    </row>
    <row r="16" spans="1:16" x14ac:dyDescent="0.25">
      <c r="C16" s="69" t="s">
        <v>545</v>
      </c>
      <c r="D16" s="33">
        <f>'Väliseinät sisällä'!B34</f>
        <v>500</v>
      </c>
      <c r="E16" s="9">
        <f t="shared" si="0"/>
        <v>500</v>
      </c>
      <c r="F16" s="33"/>
      <c r="G16" s="9"/>
      <c r="H16" s="9"/>
      <c r="I16" s="96"/>
      <c r="J16" s="96"/>
      <c r="K16" s="96"/>
      <c r="L16" s="96"/>
      <c r="M16" s="96"/>
      <c r="N16" s="96"/>
      <c r="P16" s="69"/>
    </row>
    <row r="17" spans="1:16" hidden="1" x14ac:dyDescent="0.25">
      <c r="C17" s="69"/>
      <c r="D17" s="33"/>
      <c r="E17" s="9"/>
      <c r="F17" s="33"/>
      <c r="G17" s="9"/>
      <c r="H17" s="9"/>
      <c r="I17" s="96"/>
      <c r="J17" s="96"/>
      <c r="K17" s="96"/>
      <c r="L17" s="96"/>
      <c r="M17" s="96"/>
      <c r="N17" s="96"/>
      <c r="P17" s="69"/>
    </row>
    <row r="18" spans="1:16" hidden="1" x14ac:dyDescent="0.25">
      <c r="C18" s="97" t="s">
        <v>19</v>
      </c>
      <c r="D18" s="33"/>
      <c r="E18" s="9"/>
      <c r="F18" s="33"/>
      <c r="G18" s="9"/>
      <c r="H18" s="9"/>
      <c r="I18" s="96"/>
      <c r="J18" s="96"/>
      <c r="K18" s="96"/>
      <c r="L18" s="96"/>
      <c r="M18" s="96"/>
      <c r="N18" s="96"/>
      <c r="P18" s="97"/>
    </row>
    <row r="19" spans="1:16" x14ac:dyDescent="0.25">
      <c r="C19" s="69" t="s">
        <v>542</v>
      </c>
      <c r="D19" s="33">
        <f>SUM(G19:N19)/10</f>
        <v>5.0250000000000004</v>
      </c>
      <c r="E19" s="9">
        <f t="shared" si="0"/>
        <v>6</v>
      </c>
      <c r="F19" s="33"/>
      <c r="G19" s="9">
        <f>'Väliseinät sisällä'!H18</f>
        <v>50.25</v>
      </c>
      <c r="H19" s="9">
        <f>'Väliseinät sisällä'!H63</f>
        <v>0</v>
      </c>
      <c r="I19" s="96">
        <f>'Väliseinät sisällä'!H107</f>
        <v>0</v>
      </c>
      <c r="J19" s="96">
        <f>'Väliseinät sisällä'!H150</f>
        <v>0</v>
      </c>
      <c r="K19" s="96">
        <f>'Väliseinät sisällä'!H193</f>
        <v>0</v>
      </c>
      <c r="L19" s="96">
        <f>'Väliseinät sisällä'!H236</f>
        <v>0</v>
      </c>
      <c r="M19" s="96">
        <f>'Väliseinät sisällä'!H279</f>
        <v>0</v>
      </c>
      <c r="N19" s="96">
        <f>'Väliseinät sisällä'!H322</f>
        <v>0</v>
      </c>
      <c r="P19" s="69"/>
    </row>
    <row r="20" spans="1:16" x14ac:dyDescent="0.25">
      <c r="C20" s="69" t="s">
        <v>543</v>
      </c>
      <c r="D20" s="33">
        <f>SUM(G20:N20)/10</f>
        <v>5.0250000000000004</v>
      </c>
      <c r="E20" s="9">
        <f t="shared" si="0"/>
        <v>6</v>
      </c>
      <c r="F20" s="33"/>
      <c r="G20" s="9">
        <f>'Väliseinät sisällä'!H19</f>
        <v>50.25</v>
      </c>
      <c r="H20" s="9">
        <f>'Väliseinät sisällä'!H64</f>
        <v>0</v>
      </c>
      <c r="I20" s="96">
        <f>'Väliseinät sisällä'!H108</f>
        <v>0</v>
      </c>
      <c r="J20" s="96">
        <f>'Väliseinät sisällä'!H151</f>
        <v>0</v>
      </c>
      <c r="K20" s="96">
        <f>'Väliseinät sisällä'!H194</f>
        <v>0</v>
      </c>
      <c r="L20" s="96">
        <f>'Väliseinät sisällä'!H237</f>
        <v>0</v>
      </c>
      <c r="M20" s="96">
        <f>'Väliseinät sisällä'!H280</f>
        <v>0</v>
      </c>
      <c r="N20" s="96">
        <f>'Väliseinät sisällä'!H323</f>
        <v>0</v>
      </c>
      <c r="P20" s="69"/>
    </row>
    <row r="21" spans="1:16" hidden="1" x14ac:dyDescent="0.25">
      <c r="C21" s="69" t="s">
        <v>544</v>
      </c>
      <c r="D21" s="33">
        <f>SUM(G21:N21)</f>
        <v>166.66666666666666</v>
      </c>
      <c r="E21" s="9">
        <f t="shared" si="0"/>
        <v>167</v>
      </c>
      <c r="F21" s="33"/>
      <c r="G21" s="9">
        <f>'Väliseinät sisällä'!H20</f>
        <v>166.66666666666666</v>
      </c>
      <c r="H21" s="9">
        <f>'Väliseinät sisällä'!H65</f>
        <v>0</v>
      </c>
      <c r="I21" s="96">
        <f>'Väliseinät sisällä'!H109</f>
        <v>0</v>
      </c>
      <c r="J21" s="96">
        <f>'Väliseinät sisällä'!H152</f>
        <v>0</v>
      </c>
      <c r="K21" s="96">
        <f>'Väliseinät sisällä'!H195</f>
        <v>0</v>
      </c>
      <c r="L21" s="96">
        <f>'Väliseinät sisällä'!H238</f>
        <v>0</v>
      </c>
      <c r="M21" s="96">
        <f>'Väliseinät sisällä'!H281</f>
        <v>0</v>
      </c>
      <c r="N21" s="96">
        <f>'Väliseinät sisällä'!H324</f>
        <v>0</v>
      </c>
      <c r="P21" s="69"/>
    </row>
    <row r="22" spans="1:16" hidden="1" x14ac:dyDescent="0.25">
      <c r="C22" s="69"/>
      <c r="D22" s="33"/>
      <c r="E22" s="9"/>
      <c r="F22" s="33"/>
      <c r="G22" s="9"/>
      <c r="H22" s="9"/>
      <c r="I22" s="96"/>
      <c r="J22" s="96"/>
      <c r="K22" s="96"/>
      <c r="L22" s="96"/>
      <c r="M22" s="96"/>
      <c r="N22" s="96"/>
      <c r="P22" s="69"/>
    </row>
    <row r="23" spans="1:16" hidden="1" x14ac:dyDescent="0.25">
      <c r="C23" s="97" t="s">
        <v>27</v>
      </c>
      <c r="D23" s="33"/>
      <c r="E23" s="9"/>
      <c r="F23" s="33"/>
      <c r="G23" s="9"/>
      <c r="H23" s="9"/>
      <c r="I23" s="96"/>
      <c r="J23" s="96"/>
      <c r="K23" s="96"/>
      <c r="L23" s="96"/>
      <c r="M23" s="96"/>
      <c r="N23" s="96"/>
      <c r="P23" s="97"/>
    </row>
    <row r="24" spans="1:16" x14ac:dyDescent="0.25">
      <c r="C24" s="69" t="s">
        <v>540</v>
      </c>
      <c r="D24" s="33">
        <f>SUM(G24:N24)/20</f>
        <v>80.400000000000006</v>
      </c>
      <c r="E24" s="9">
        <f t="shared" si="0"/>
        <v>81</v>
      </c>
      <c r="F24" s="33"/>
      <c r="G24" s="9">
        <f>'Väliseinät sisällä'!H22</f>
        <v>1608</v>
      </c>
      <c r="H24" s="9">
        <f>'Väliseinät sisällä'!H67</f>
        <v>0</v>
      </c>
      <c r="I24" s="96">
        <f>'Väliseinät sisällä'!H111</f>
        <v>0</v>
      </c>
      <c r="J24" s="96">
        <f>'Väliseinät sisällä'!H154</f>
        <v>0</v>
      </c>
      <c r="K24" s="96">
        <f>'Väliseinät sisällä'!H197</f>
        <v>0</v>
      </c>
      <c r="L24" s="96">
        <f>'Väliseinät sisällä'!H240</f>
        <v>0</v>
      </c>
      <c r="M24" s="96">
        <f>'Väliseinät sisällä'!H283</f>
        <v>0</v>
      </c>
      <c r="N24" s="96">
        <f>'Väliseinät sisällä'!H326</f>
        <v>0</v>
      </c>
      <c r="P24" s="69"/>
    </row>
    <row r="25" spans="1:16" x14ac:dyDescent="0.25">
      <c r="C25" s="69" t="s">
        <v>541</v>
      </c>
      <c r="D25" s="33">
        <f>SUM(G25:N25)/20</f>
        <v>80.400000000000006</v>
      </c>
      <c r="E25" s="9">
        <f t="shared" si="0"/>
        <v>81</v>
      </c>
      <c r="F25" s="33"/>
      <c r="G25" s="9">
        <f>'Väliseinät sisällä'!H23</f>
        <v>1608</v>
      </c>
      <c r="H25" s="9">
        <f>'Väliseinät sisällä'!H70</f>
        <v>0</v>
      </c>
      <c r="I25" s="96">
        <f>'Väliseinät sisällä'!H114</f>
        <v>0</v>
      </c>
      <c r="J25" s="96">
        <f>'Väliseinät sisällä'!H157</f>
        <v>0</v>
      </c>
      <c r="K25" s="96">
        <f>'Väliseinät sisällä'!H200</f>
        <v>0</v>
      </c>
      <c r="L25" s="96">
        <f>'Väliseinät sisällä'!H243</f>
        <v>0</v>
      </c>
      <c r="M25" s="96">
        <f>'Väliseinät sisällä'!H286</f>
        <v>0</v>
      </c>
      <c r="N25" s="96">
        <f>'Väliseinät sisällä'!H329</f>
        <v>0</v>
      </c>
      <c r="P25" s="69"/>
    </row>
    <row r="26" spans="1:16" x14ac:dyDescent="0.25">
      <c r="C26" s="69" t="s">
        <v>32</v>
      </c>
      <c r="D26" s="33">
        <f>SUM(G26:N26)/10</f>
        <v>40.200000000000003</v>
      </c>
      <c r="E26" s="9">
        <f t="shared" si="0"/>
        <v>41</v>
      </c>
      <c r="F26" s="33"/>
      <c r="G26" s="9">
        <f>'Väliseinät sisällä'!H24</f>
        <v>402</v>
      </c>
      <c r="H26" s="9">
        <f>'Väliseinät sisällä'!H71</f>
        <v>0</v>
      </c>
      <c r="I26" s="96">
        <f>'Väliseinät sisällä'!H115</f>
        <v>0</v>
      </c>
      <c r="J26" s="96">
        <f>'Väliseinät sisällä'!H158</f>
        <v>0</v>
      </c>
      <c r="K26" s="96">
        <f>'Väliseinät sisällä'!H201</f>
        <v>0</v>
      </c>
      <c r="L26" s="96">
        <f>'Väliseinät sisällä'!H244</f>
        <v>0</v>
      </c>
      <c r="M26" s="96">
        <f>'Väliseinät sisällä'!H287</f>
        <v>0</v>
      </c>
      <c r="N26" s="96">
        <f>'Väliseinät sisällä'!H330</f>
        <v>0</v>
      </c>
      <c r="P26" s="69"/>
    </row>
    <row r="27" spans="1:16" hidden="1" x14ac:dyDescent="0.25">
      <c r="C27" s="69"/>
      <c r="D27" s="33"/>
      <c r="E27" s="9"/>
      <c r="F27" s="33"/>
      <c r="G27" s="9"/>
      <c r="H27" s="9"/>
      <c r="I27" s="96"/>
      <c r="J27" s="96"/>
      <c r="K27" s="96"/>
      <c r="L27" s="96"/>
      <c r="M27" s="96"/>
      <c r="N27" s="96"/>
      <c r="P27" s="69"/>
    </row>
    <row r="28" spans="1:16" hidden="1" x14ac:dyDescent="0.25">
      <c r="C28" s="69"/>
      <c r="D28" s="33"/>
      <c r="E28" s="9"/>
      <c r="F28" s="33"/>
      <c r="G28" s="9"/>
      <c r="H28" s="9"/>
      <c r="I28" s="96"/>
      <c r="J28" s="96"/>
      <c r="K28" s="96"/>
      <c r="L28" s="96"/>
      <c r="M28" s="96"/>
      <c r="N28" s="96"/>
      <c r="P28" s="69"/>
    </row>
    <row r="29" spans="1:16" x14ac:dyDescent="0.25">
      <c r="A29" s="1" t="s">
        <v>167</v>
      </c>
      <c r="C29" s="97" t="s">
        <v>549</v>
      </c>
      <c r="E29" s="13" t="s">
        <v>115</v>
      </c>
      <c r="G29" s="1" t="s">
        <v>106</v>
      </c>
      <c r="H29" s="1" t="s">
        <v>107</v>
      </c>
      <c r="I29" s="1" t="s">
        <v>108</v>
      </c>
      <c r="J29" s="1" t="s">
        <v>109</v>
      </c>
      <c r="K29" s="1" t="s">
        <v>110</v>
      </c>
      <c r="L29" s="1" t="s">
        <v>111</v>
      </c>
      <c r="M29" s="1" t="s">
        <v>112</v>
      </c>
      <c r="N29" s="1" t="s">
        <v>113</v>
      </c>
      <c r="O29" s="1" t="s">
        <v>163</v>
      </c>
      <c r="P29" s="1" t="s">
        <v>164</v>
      </c>
    </row>
    <row r="30" spans="1:16" x14ac:dyDescent="0.25">
      <c r="C30" t="s">
        <v>189</v>
      </c>
      <c r="E30" s="4">
        <f>SUM(G30:P30)</f>
        <v>33</v>
      </c>
      <c r="G30">
        <f>Maalaukset!K6</f>
        <v>33</v>
      </c>
      <c r="H30">
        <f>Maalaukset!K39</f>
        <v>0</v>
      </c>
      <c r="I30">
        <f>Maalaukset!K72</f>
        <v>0</v>
      </c>
      <c r="J30">
        <f>Maalaukset!K105</f>
        <v>0</v>
      </c>
      <c r="K30">
        <f>Maalaukset!K138</f>
        <v>0</v>
      </c>
      <c r="L30">
        <f>Maalaukset!K171</f>
        <v>0</v>
      </c>
      <c r="M30">
        <f>Maalaukset!K204</f>
        <v>0</v>
      </c>
      <c r="N30">
        <f>Maalaukset!K237</f>
        <v>0</v>
      </c>
      <c r="O30">
        <f>Maalaukset!K270</f>
        <v>0</v>
      </c>
      <c r="P30">
        <f>Maalaukset!K303</f>
        <v>0</v>
      </c>
    </row>
    <row r="31" spans="1:16" hidden="1" x14ac:dyDescent="0.25">
      <c r="C31" t="s">
        <v>148</v>
      </c>
      <c r="E31" s="4">
        <f t="shared" ref="E31:E40" si="1">SUM(G31:P31)</f>
        <v>0</v>
      </c>
      <c r="G31">
        <f>Maalaukset!K11</f>
        <v>0</v>
      </c>
      <c r="H31">
        <f>Maalaukset!K44</f>
        <v>0</v>
      </c>
      <c r="I31">
        <f>Maalaukset!K77</f>
        <v>0</v>
      </c>
      <c r="J31">
        <f>Maalaukset!K110</f>
        <v>0</v>
      </c>
      <c r="K31">
        <f>Maalaukset!K143</f>
        <v>0</v>
      </c>
      <c r="L31">
        <f>Maalaukset!K176</f>
        <v>0</v>
      </c>
      <c r="M31">
        <f>Maalaukset!K209</f>
        <v>0</v>
      </c>
      <c r="N31">
        <f>Maalaukset!K242</f>
        <v>0</v>
      </c>
      <c r="O31">
        <f>Maalaukset!K275</f>
        <v>0</v>
      </c>
      <c r="P31">
        <f>Maalaukset!K308</f>
        <v>0</v>
      </c>
    </row>
    <row r="32" spans="1:16" hidden="1" x14ac:dyDescent="0.25">
      <c r="C32" t="s">
        <v>149</v>
      </c>
      <c r="E32" s="4">
        <f t="shared" si="1"/>
        <v>0</v>
      </c>
      <c r="G32">
        <f>Maalaukset!K12</f>
        <v>0</v>
      </c>
      <c r="H32">
        <f>Maalaukset!K45</f>
        <v>0</v>
      </c>
      <c r="I32">
        <f>Maalaukset!K78</f>
        <v>0</v>
      </c>
      <c r="J32">
        <f>Maalaukset!K111</f>
        <v>0</v>
      </c>
      <c r="K32">
        <f>Maalaukset!K144</f>
        <v>0</v>
      </c>
      <c r="L32">
        <f>Maalaukset!K177</f>
        <v>0</v>
      </c>
      <c r="M32">
        <f>Maalaukset!K210</f>
        <v>0</v>
      </c>
      <c r="N32">
        <f>Maalaukset!K243</f>
        <v>0</v>
      </c>
      <c r="O32">
        <f>Maalaukset!K276</f>
        <v>0</v>
      </c>
      <c r="P32">
        <f>Maalaukset!K309</f>
        <v>0</v>
      </c>
    </row>
    <row r="33" spans="1:16" x14ac:dyDescent="0.25">
      <c r="C33" t="s">
        <v>54</v>
      </c>
      <c r="E33" s="4">
        <f t="shared" si="1"/>
        <v>0</v>
      </c>
      <c r="G33">
        <f>Maalaukset!K14</f>
        <v>0</v>
      </c>
      <c r="H33">
        <f>Maalaukset!K47</f>
        <v>0</v>
      </c>
      <c r="I33">
        <f>Maalaukset!K80</f>
        <v>0</v>
      </c>
      <c r="J33">
        <f>Maalaukset!K113</f>
        <v>0</v>
      </c>
      <c r="K33">
        <f>Maalaukset!K146</f>
        <v>0</v>
      </c>
      <c r="L33">
        <f>Maalaukset!K179</f>
        <v>0</v>
      </c>
      <c r="M33">
        <f>Maalaukset!K212</f>
        <v>0</v>
      </c>
      <c r="N33">
        <f>Maalaukset!K245</f>
        <v>0</v>
      </c>
      <c r="O33">
        <f>Maalaukset!K278</f>
        <v>0</v>
      </c>
      <c r="P33">
        <f>Maalaukset!K311</f>
        <v>0</v>
      </c>
    </row>
    <row r="34" spans="1:16" hidden="1" x14ac:dyDescent="0.25">
      <c r="C34" t="s">
        <v>130</v>
      </c>
      <c r="E34" s="4">
        <f t="shared" si="1"/>
        <v>0</v>
      </c>
      <c r="G34">
        <f>Maalaukset!K16</f>
        <v>0</v>
      </c>
      <c r="H34">
        <f>Maalaukset!K49</f>
        <v>0</v>
      </c>
      <c r="I34">
        <f>Maalaukset!K82</f>
        <v>0</v>
      </c>
      <c r="J34">
        <f>Maalaukset!K115</f>
        <v>0</v>
      </c>
      <c r="K34">
        <f>Maalaukset!K148</f>
        <v>0</v>
      </c>
      <c r="L34">
        <f>Maalaukset!K181</f>
        <v>0</v>
      </c>
      <c r="M34">
        <f>Maalaukset!K214</f>
        <v>0</v>
      </c>
      <c r="N34">
        <f>Maalaukset!K247</f>
        <v>0</v>
      </c>
      <c r="O34">
        <f>Maalaukset!K280</f>
        <v>0</v>
      </c>
      <c r="P34">
        <f>Maalaukset!K313</f>
        <v>0</v>
      </c>
    </row>
    <row r="35" spans="1:16" x14ac:dyDescent="0.25">
      <c r="C35" s="33" t="s">
        <v>147</v>
      </c>
      <c r="E35" s="4">
        <f t="shared" si="1"/>
        <v>32</v>
      </c>
      <c r="G35">
        <f>Maalaukset!K18</f>
        <v>31</v>
      </c>
      <c r="H35">
        <f>Maalaukset!K51</f>
        <v>1</v>
      </c>
      <c r="I35">
        <f>Maalaukset!K84</f>
        <v>0</v>
      </c>
      <c r="J35">
        <f>Maalaukset!K117</f>
        <v>0</v>
      </c>
      <c r="K35">
        <f>Maalaukset!K150</f>
        <v>0</v>
      </c>
      <c r="L35">
        <f>Maalaukset!K183</f>
        <v>0</v>
      </c>
      <c r="M35">
        <f>Maalaukset!K216</f>
        <v>0</v>
      </c>
      <c r="N35">
        <f>Maalaukset!K249</f>
        <v>0</v>
      </c>
      <c r="O35">
        <f>Maalaukset!K282</f>
        <v>0</v>
      </c>
      <c r="P35">
        <f>Maalaukset!K315</f>
        <v>0</v>
      </c>
    </row>
    <row r="36" spans="1:16" x14ac:dyDescent="0.25">
      <c r="C36" s="33" t="s">
        <v>145</v>
      </c>
      <c r="E36" s="4">
        <f t="shared" si="1"/>
        <v>17</v>
      </c>
      <c r="G36">
        <f>Maalaukset!K20</f>
        <v>17</v>
      </c>
      <c r="H36">
        <f>Maalaukset!K53</f>
        <v>0</v>
      </c>
      <c r="I36">
        <f>Maalaukset!K86</f>
        <v>0</v>
      </c>
      <c r="J36">
        <f>Maalaukset!K119</f>
        <v>0</v>
      </c>
      <c r="K36">
        <f>Maalaukset!K152</f>
        <v>0</v>
      </c>
      <c r="L36">
        <f>Maalaukset!K185</f>
        <v>0</v>
      </c>
      <c r="M36">
        <f>Maalaukset!K218</f>
        <v>0</v>
      </c>
      <c r="N36">
        <f>Maalaukset!K251</f>
        <v>0</v>
      </c>
      <c r="O36">
        <f>Maalaukset!K284</f>
        <v>0</v>
      </c>
      <c r="P36">
        <f>Maalaukset!K317</f>
        <v>0</v>
      </c>
    </row>
    <row r="37" spans="1:16" hidden="1" x14ac:dyDescent="0.25">
      <c r="C37" s="33" t="s">
        <v>146</v>
      </c>
      <c r="E37" s="4">
        <f t="shared" si="1"/>
        <v>6</v>
      </c>
      <c r="G37">
        <f>Maalaukset!K21</f>
        <v>5</v>
      </c>
      <c r="H37">
        <f>Maalaukset!K54</f>
        <v>1</v>
      </c>
      <c r="I37">
        <f>Maalaukset!K87</f>
        <v>0</v>
      </c>
      <c r="J37">
        <f>Maalaukset!K120</f>
        <v>0</v>
      </c>
      <c r="K37">
        <f>Maalaukset!K153</f>
        <v>0</v>
      </c>
      <c r="L37">
        <f>Maalaukset!K186</f>
        <v>0</v>
      </c>
      <c r="M37">
        <f>Maalaukset!K219</f>
        <v>0</v>
      </c>
      <c r="N37">
        <f>Maalaukset!K252</f>
        <v>0</v>
      </c>
      <c r="O37">
        <f>Maalaukset!K285</f>
        <v>0</v>
      </c>
      <c r="P37">
        <f>Maalaukset!K318</f>
        <v>0</v>
      </c>
    </row>
    <row r="38" spans="1:16" hidden="1" x14ac:dyDescent="0.25">
      <c r="C38" s="39" t="s">
        <v>172</v>
      </c>
      <c r="E38" s="4">
        <f t="shared" si="1"/>
        <v>0</v>
      </c>
      <c r="G38">
        <f>Maalaukset!K23</f>
        <v>0</v>
      </c>
      <c r="H38">
        <f>Maalaukset!K56</f>
        <v>0</v>
      </c>
      <c r="I38">
        <f>Maalaukset!K89</f>
        <v>0</v>
      </c>
      <c r="J38">
        <f>Maalaukset!K122</f>
        <v>0</v>
      </c>
      <c r="K38">
        <f>Maalaukset!K155</f>
        <v>0</v>
      </c>
      <c r="L38">
        <f>Maalaukset!K188</f>
        <v>0</v>
      </c>
      <c r="M38">
        <f>Maalaukset!K221</f>
        <v>0</v>
      </c>
      <c r="N38">
        <f>Maalaukset!K254</f>
        <v>0</v>
      </c>
      <c r="O38">
        <f>Maalaukset!K287</f>
        <v>0</v>
      </c>
      <c r="P38">
        <f>Maalaukset!K320</f>
        <v>0</v>
      </c>
    </row>
    <row r="39" spans="1:16" hidden="1" x14ac:dyDescent="0.25">
      <c r="C39" s="39" t="s">
        <v>173</v>
      </c>
      <c r="E39" s="4">
        <f t="shared" si="1"/>
        <v>0</v>
      </c>
      <c r="G39">
        <f>Maalaukset!K24</f>
        <v>0</v>
      </c>
      <c r="H39">
        <f>Maalaukset!K57</f>
        <v>0</v>
      </c>
      <c r="I39">
        <f>Maalaukset!K90</f>
        <v>0</v>
      </c>
      <c r="J39">
        <f>Maalaukset!K123</f>
        <v>0</v>
      </c>
      <c r="K39">
        <f>Maalaukset!K156</f>
        <v>0</v>
      </c>
      <c r="L39">
        <f>Maalaukset!K189</f>
        <v>0</v>
      </c>
      <c r="M39">
        <f>Maalaukset!K222</f>
        <v>0</v>
      </c>
      <c r="N39">
        <f>Maalaukset!K255</f>
        <v>0</v>
      </c>
      <c r="O39">
        <f>Maalaukset!K288</f>
        <v>0</v>
      </c>
      <c r="P39">
        <f>Maalaukset!K321</f>
        <v>0</v>
      </c>
    </row>
    <row r="40" spans="1:16" hidden="1" x14ac:dyDescent="0.25">
      <c r="C40" s="39" t="s">
        <v>174</v>
      </c>
      <c r="E40" s="4">
        <f t="shared" si="1"/>
        <v>0</v>
      </c>
      <c r="G40">
        <f>Maalaukset!K25</f>
        <v>0</v>
      </c>
      <c r="H40">
        <f>Maalaukset!K58</f>
        <v>0</v>
      </c>
      <c r="I40">
        <f>Maalaukset!K91</f>
        <v>0</v>
      </c>
      <c r="J40">
        <f>Maalaukset!K124</f>
        <v>0</v>
      </c>
      <c r="K40">
        <f>Maalaukset!K157</f>
        <v>0</v>
      </c>
      <c r="L40">
        <f>Maalaukset!K190</f>
        <v>0</v>
      </c>
      <c r="M40">
        <f>Maalaukset!K223</f>
        <v>0</v>
      </c>
      <c r="N40">
        <f>Maalaukset!K256</f>
        <v>0</v>
      </c>
      <c r="O40">
        <f>Maalaukset!K289</f>
        <v>0</v>
      </c>
      <c r="P40">
        <f>Maalaukset!K322</f>
        <v>0</v>
      </c>
    </row>
    <row r="41" spans="1:16" hidden="1" x14ac:dyDescent="0.25"/>
    <row r="42" spans="1:16" x14ac:dyDescent="0.25">
      <c r="A42" t="s">
        <v>550</v>
      </c>
      <c r="C42" s="39" t="s">
        <v>551</v>
      </c>
      <c r="E42" s="4" t="s">
        <v>552</v>
      </c>
    </row>
    <row r="43" spans="1:16" hidden="1" x14ac:dyDescent="0.25">
      <c r="C43" t="str">
        <f>Materiaalihinnoittelut!B4</f>
        <v>GN</v>
      </c>
      <c r="E43" s="4">
        <f>Materiaalihinnoittelut!E4</f>
        <v>35</v>
      </c>
    </row>
    <row r="44" spans="1:16" hidden="1" x14ac:dyDescent="0.25">
      <c r="C44" t="str">
        <f>Materiaalihinnoittelut!B5</f>
        <v>GEK</v>
      </c>
      <c r="E44" s="4">
        <f>Materiaalihinnoittelut!E5</f>
        <v>0</v>
      </c>
    </row>
    <row r="45" spans="1:16" hidden="1" x14ac:dyDescent="0.25">
      <c r="C45" t="str">
        <f>Materiaalihinnoittelut!B6</f>
        <v>Saneerauskipsi 6MM</v>
      </c>
      <c r="E45" s="4">
        <f>Materiaalihinnoittelut!E6</f>
        <v>0</v>
      </c>
    </row>
    <row r="46" spans="1:16" hidden="1" x14ac:dyDescent="0.25">
      <c r="C46" t="str">
        <f>Materiaalihinnoittelut!B7</f>
        <v>66 ranka</v>
      </c>
      <c r="E46" s="4">
        <f>Materiaalihinnoittelut!E7</f>
        <v>0</v>
      </c>
    </row>
    <row r="47" spans="1:16" hidden="1" x14ac:dyDescent="0.25">
      <c r="C47" t="str">
        <f>Materiaalihinnoittelut!B8</f>
        <v>66 alakisko</v>
      </c>
      <c r="E47" s="4">
        <f>Materiaalihinnoittelut!E8</f>
        <v>0</v>
      </c>
    </row>
    <row r="48" spans="1:16" hidden="1" x14ac:dyDescent="0.25">
      <c r="C48" t="str">
        <f>Materiaalihinnoittelut!B9</f>
        <v>66 kertopuu</v>
      </c>
      <c r="E48" s="4">
        <f>Materiaalihinnoittelut!E9</f>
        <v>0</v>
      </c>
    </row>
    <row r="49" spans="3:5" hidden="1" x14ac:dyDescent="0.25">
      <c r="C49" t="str">
        <f>Materiaalihinnoittelut!B10</f>
        <v>95 ranka</v>
      </c>
      <c r="E49" s="4">
        <f>Materiaalihinnoittelut!E10</f>
        <v>0</v>
      </c>
    </row>
    <row r="50" spans="3:5" hidden="1" x14ac:dyDescent="0.25">
      <c r="C50" t="str">
        <f>Materiaalihinnoittelut!B11</f>
        <v>95 alakisko</v>
      </c>
      <c r="E50" s="4">
        <f>Materiaalihinnoittelut!E11</f>
        <v>0</v>
      </c>
    </row>
    <row r="51" spans="3:5" hidden="1" x14ac:dyDescent="0.25">
      <c r="C51" t="str">
        <f>Materiaalihinnoittelut!B12</f>
        <v>92 keropuu</v>
      </c>
      <c r="E51" s="4">
        <f>Materiaalihinnoittelut!E12</f>
        <v>0</v>
      </c>
    </row>
    <row r="52" spans="3:5" hidden="1" x14ac:dyDescent="0.25">
      <c r="C52" t="str">
        <f>Materiaalihinnoittelut!B13</f>
        <v>Väliseinävilla</v>
      </c>
      <c r="E52" s="4">
        <f>Materiaalihinnoittelut!E13</f>
        <v>0</v>
      </c>
    </row>
    <row r="53" spans="3:5" hidden="1" x14ac:dyDescent="0.25">
      <c r="C53" t="str">
        <f>Materiaalihinnoittelut!B14</f>
        <v>120 ranka</v>
      </c>
      <c r="E53" s="4">
        <f>Materiaalihinnoittelut!E14</f>
        <v>0</v>
      </c>
    </row>
    <row r="54" spans="3:5" hidden="1" x14ac:dyDescent="0.25">
      <c r="C54" t="str">
        <f>Materiaalihinnoittelut!B15</f>
        <v>120 alakisko</v>
      </c>
      <c r="E54" s="4">
        <f>Materiaalihinnoittelut!E15</f>
        <v>0</v>
      </c>
    </row>
    <row r="55" spans="3:5" hidden="1" x14ac:dyDescent="0.25">
      <c r="C55" t="str">
        <f>Materiaalihinnoittelut!B16</f>
        <v>XR66 ranka</v>
      </c>
      <c r="E55" s="4">
        <f>Materiaalihinnoittelut!E16</f>
        <v>0</v>
      </c>
    </row>
    <row r="56" spans="3:5" hidden="1" x14ac:dyDescent="0.25">
      <c r="C56" t="str">
        <f>Materiaalihinnoittelut!B17</f>
        <v>Acounomic 66 kisko</v>
      </c>
      <c r="E56" s="4">
        <f>Materiaalihinnoittelut!E17</f>
        <v>0</v>
      </c>
    </row>
    <row r="57" spans="3:5" hidden="1" x14ac:dyDescent="0.25">
      <c r="C57" t="str">
        <f>Materiaalihinnoittelut!B18</f>
        <v>XR95 ranka</v>
      </c>
      <c r="E57" s="4">
        <f>Materiaalihinnoittelut!E18</f>
        <v>0</v>
      </c>
    </row>
    <row r="58" spans="3:5" hidden="1" x14ac:dyDescent="0.25">
      <c r="C58" t="str">
        <f>Materiaalihinnoittelut!B19</f>
        <v>Acounomic 95 kisko</v>
      </c>
      <c r="E58" s="4">
        <f>Materiaalihinnoittelut!E19</f>
        <v>0</v>
      </c>
    </row>
    <row r="59" spans="3:5" hidden="1" x14ac:dyDescent="0.25">
      <c r="C59" t="str">
        <f>Materiaalihinnoittelut!B20</f>
        <v>GFR 120/1,2mm</v>
      </c>
      <c r="E59" s="4">
        <f>Materiaalihinnoittelut!E20</f>
        <v>0</v>
      </c>
    </row>
    <row r="60" spans="3:5" hidden="1" x14ac:dyDescent="0.25">
      <c r="C60" t="str">
        <f>Materiaalihinnoittelut!B21</f>
        <v>GFR 95/1,2mm</v>
      </c>
      <c r="E60" s="4">
        <f>Materiaalihinnoittelut!E21</f>
        <v>0</v>
      </c>
    </row>
    <row r="61" spans="3:5" hidden="1" x14ac:dyDescent="0.25">
      <c r="C61" t="str">
        <f>Materiaalihinnoittelut!B22</f>
        <v>GFR 70/1,2mm</v>
      </c>
      <c r="E61" s="4">
        <f>Materiaalihinnoittelut!E22</f>
        <v>0</v>
      </c>
    </row>
    <row r="62" spans="3:5" hidden="1" x14ac:dyDescent="0.25">
      <c r="C62" t="str">
        <f>Materiaalihinnoittelut!B23</f>
        <v>GFS 70</v>
      </c>
      <c r="E62" s="4">
        <f>Materiaalihinnoittelut!E23</f>
        <v>0</v>
      </c>
    </row>
    <row r="63" spans="3:5" hidden="1" x14ac:dyDescent="0.25">
      <c r="C63" t="str">
        <f>Materiaalihinnoittelut!B24</f>
        <v>GFS 95</v>
      </c>
      <c r="E63" s="4">
        <f>Materiaalihinnoittelut!E24</f>
        <v>0</v>
      </c>
    </row>
    <row r="64" spans="3:5" hidden="1" x14ac:dyDescent="0.25">
      <c r="C64" t="str">
        <f>Materiaalihinnoittelut!B25</f>
        <v>GFS 120</v>
      </c>
      <c r="E64" s="4">
        <f>Materiaalihinnoittelut!E25</f>
        <v>0</v>
      </c>
    </row>
    <row r="65" spans="3:5" hidden="1" x14ac:dyDescent="0.25">
      <c r="C65" t="str">
        <f>Materiaalihinnoittelut!B26</f>
        <v>Vihtan lasiseinät, 900 ja 600</v>
      </c>
      <c r="E65" s="4">
        <f>Materiaalihinnoittelut!E26</f>
        <v>0</v>
      </c>
    </row>
    <row r="66" spans="3:5" hidden="1" x14ac:dyDescent="0.25">
      <c r="C66" t="str">
        <f>Materiaalihinnoittelut!B27</f>
        <v>12mm hvauvaner, 12x240</v>
      </c>
      <c r="E66" s="4">
        <f>Materiaalihinnoittelut!E27</f>
        <v>0</v>
      </c>
    </row>
    <row r="67" spans="3:5" hidden="1" x14ac:dyDescent="0.25">
      <c r="C67" t="str">
        <f>Materiaalihinnoittelut!B28</f>
        <v>IBS 1 taustapelti 1200x2400</v>
      </c>
      <c r="E67" s="4">
        <f>Materiaalihinnoittelut!E28</f>
        <v>0</v>
      </c>
    </row>
    <row r="68" spans="3:5" x14ac:dyDescent="0.25">
      <c r="C68" t="str">
        <f>Materiaalihinnoittelut!B29</f>
        <v>Lattiakipsilevy Knauf KL 15mm, 900x2400</v>
      </c>
      <c r="E68" s="4">
        <f>Materiaalihinnoittelut!E29</f>
        <v>0</v>
      </c>
    </row>
    <row r="69" spans="3:5" hidden="1" x14ac:dyDescent="0.25">
      <c r="C69" t="str">
        <f>Materiaalihinnoittelut!B30</f>
        <v>Lattiakipsi Lapikas 15mm 1200x2400</v>
      </c>
      <c r="E69" s="4">
        <f>Materiaalihinnoittelut!E30</f>
        <v>0</v>
      </c>
    </row>
    <row r="70" spans="3:5" hidden="1" x14ac:dyDescent="0.25">
      <c r="C70" t="str">
        <f>Materiaalihinnoittelut!B31</f>
        <v>Palosuojalevy knauf KPS 1200x2700x15</v>
      </c>
      <c r="E70" s="4">
        <f>Materiaalihinnoittelut!E31</f>
        <v>0</v>
      </c>
    </row>
    <row r="71" spans="3:5" hidden="1" x14ac:dyDescent="0.25">
      <c r="C71" t="str">
        <f>Materiaalihinnoittelut!B32</f>
        <v>Palonsuojalevy Gyproc GFL15 1200x3000</v>
      </c>
      <c r="E71" s="4">
        <f>Materiaalihinnoittelut!E32</f>
        <v>0</v>
      </c>
    </row>
    <row r="72" spans="3:5" hidden="1" x14ac:dyDescent="0.25">
      <c r="C72" t="str">
        <f>Materiaalihinnoittelut!B33</f>
        <v>Kipsilevy märkätila</v>
      </c>
      <c r="E72" s="4">
        <f>Materiaalihinnoittelut!E33</f>
        <v>0</v>
      </c>
    </row>
    <row r="73" spans="3:5" hidden="1" x14ac:dyDescent="0.25">
      <c r="C73" t="str">
        <f>Materiaalihinnoittelut!B34</f>
        <v>Vesivaneri 12mm</v>
      </c>
      <c r="E73" s="4">
        <f>Materiaalihinnoittelut!E34</f>
        <v>0</v>
      </c>
    </row>
    <row r="74" spans="3:5" hidden="1" x14ac:dyDescent="0.25">
      <c r="C74" t="str">
        <f>Materiaalihinnoittelut!B35</f>
        <v>Väliseinäpontti kahi, rei'itetty 300x85x198</v>
      </c>
      <c r="E74" s="4">
        <f>Materiaalihinnoittelut!E35</f>
        <v>0</v>
      </c>
    </row>
    <row r="75" spans="3:5" hidden="1" x14ac:dyDescent="0.25">
      <c r="C75" t="str">
        <f>Materiaalihinnoittelut!B36</f>
        <v>Weber ohutsaumalaasti</v>
      </c>
      <c r="E75" s="4">
        <f>Materiaalihinnoittelut!E36</f>
        <v>0</v>
      </c>
    </row>
    <row r="76" spans="3:5" hidden="1" x14ac:dyDescent="0.25">
      <c r="C76" t="str">
        <f>Materiaalihinnoittelut!B37</f>
        <v>9mm havuvaneri 1200x2440</v>
      </c>
      <c r="E76" s="4">
        <f>Materiaalihinnoittelut!E37</f>
        <v>0</v>
      </c>
    </row>
    <row r="77" spans="3:5" hidden="1" x14ac:dyDescent="0.25">
      <c r="C77" t="str">
        <f>Materiaalihinnoittelut!B38</f>
        <v>15mm havuvaneri 1200x2440</v>
      </c>
      <c r="E77" s="4">
        <f>Materiaalihinnoittelut!E38</f>
        <v>0</v>
      </c>
    </row>
    <row r="78" spans="3:5" hidden="1" x14ac:dyDescent="0.25">
      <c r="C78" t="str">
        <f>Materiaalihinnoittelut!B39</f>
        <v>24mm havuvaneri 1,2x2,40 suojakäsit.</v>
      </c>
      <c r="E78" s="4">
        <f>Materiaalihinnoittelut!E39</f>
        <v>0</v>
      </c>
    </row>
    <row r="79" spans="3:5" hidden="1" x14ac:dyDescent="0.25">
      <c r="C79" t="str">
        <f>Materiaalihinnoittelut!B40</f>
        <v>15mm koivuvaneri, 1500x3000</v>
      </c>
      <c r="E79" s="4">
        <f>Materiaalihinnoittelut!E40</f>
        <v>0</v>
      </c>
    </row>
    <row r="80" spans="3:5" hidden="1" x14ac:dyDescent="0.25">
      <c r="C80" t="str">
        <f>Materiaalihinnoittelut!B41</f>
        <v>Lattialastulevy 22x1200x2400</v>
      </c>
      <c r="E80" s="4">
        <f>Materiaalihinnoittelut!E41</f>
        <v>0</v>
      </c>
    </row>
    <row r="81" spans="3:5" hidden="1" x14ac:dyDescent="0.25">
      <c r="C81" t="str">
        <f>Materiaalihinnoittelut!B42</f>
        <v>Havuvaneri 21mm, 2440X1200</v>
      </c>
      <c r="E81" s="4">
        <f>Materiaalihinnoittelut!E42</f>
        <v>0</v>
      </c>
    </row>
    <row r="82" spans="3:5" hidden="1" x14ac:dyDescent="0.25">
      <c r="C82">
        <f>Materiaalihinnoittelut!B43</f>
        <v>0</v>
      </c>
      <c r="E82" s="4">
        <f>Materiaalihinnoittelut!E43</f>
        <v>0</v>
      </c>
    </row>
    <row r="83" spans="3:5" x14ac:dyDescent="0.25">
      <c r="C83" t="str">
        <f>Materiaalihinnoittelut!B44</f>
        <v>Sahatavara 22x100 rima</v>
      </c>
      <c r="E83" s="4">
        <f>Materiaalihinnoittelut!E44</f>
        <v>0</v>
      </c>
    </row>
    <row r="84" spans="3:5" hidden="1" x14ac:dyDescent="0.25">
      <c r="C84" t="str">
        <f>Materiaalihinnoittelut!B45</f>
        <v>Palkit</v>
      </c>
      <c r="E84" s="4">
        <f>Materiaalihinnoittelut!E45</f>
        <v>0</v>
      </c>
    </row>
    <row r="85" spans="3:5" hidden="1" x14ac:dyDescent="0.25">
      <c r="C85" t="str">
        <f>Materiaalihinnoittelut!B46</f>
        <v>2x6 mitallistettu</v>
      </c>
      <c r="E85" s="4">
        <f>Materiaalihinnoittelut!E46</f>
        <v>0</v>
      </c>
    </row>
    <row r="86" spans="3:5" hidden="1" x14ac:dyDescent="0.25">
      <c r="C86" t="str">
        <f>Materiaalihinnoittelut!B47</f>
        <v>osb levy 1,2x2,6</v>
      </c>
      <c r="E86" s="4">
        <f>Materiaalihinnoittelut!E47</f>
        <v>0</v>
      </c>
    </row>
    <row r="87" spans="3:5" hidden="1" x14ac:dyDescent="0.25">
      <c r="C87" t="str">
        <f>Materiaalihinnoittelut!B48</f>
        <v>Palkin rahti</v>
      </c>
      <c r="E87" s="4">
        <f>Materiaalihinnoittelut!E48</f>
        <v>0</v>
      </c>
    </row>
    <row r="88" spans="3:5" hidden="1" x14ac:dyDescent="0.25">
      <c r="C88" t="str">
        <f>Materiaalihinnoittelut!B49</f>
        <v>Korkean katto-osan paikkauskamat</v>
      </c>
      <c r="E88" s="4">
        <f>Materiaalihinnoittelut!E49</f>
        <v>0</v>
      </c>
    </row>
    <row r="89" spans="3:5" hidden="1" x14ac:dyDescent="0.25">
      <c r="C89" t="str">
        <f>Materiaalihinnoittelut!B50</f>
        <v>Suojamuovi</v>
      </c>
      <c r="E89" s="4">
        <f>Materiaalihinnoittelut!E50</f>
        <v>0</v>
      </c>
    </row>
    <row r="90" spans="3:5" hidden="1" x14ac:dyDescent="0.25">
      <c r="C90" t="str">
        <f>Materiaalihinnoittelut!B51</f>
        <v>Raskas suojamuovi, 0,2 kalvo</v>
      </c>
      <c r="E90" s="4">
        <f>Materiaalihinnoittelut!E51</f>
        <v>0</v>
      </c>
    </row>
    <row r="91" spans="3:5" x14ac:dyDescent="0.25">
      <c r="C91" t="str">
        <f>Materiaalihinnoittelut!B52</f>
        <v>Oranssi teippi</v>
      </c>
      <c r="E91" s="4">
        <f>Materiaalihinnoittelut!E52</f>
        <v>0</v>
      </c>
    </row>
    <row r="92" spans="3:5" x14ac:dyDescent="0.25">
      <c r="C92" t="str">
        <f>Materiaalihinnoittelut!B53</f>
        <v>Speed mask</v>
      </c>
      <c r="E92" s="4">
        <f>Materiaalihinnoittelut!E53</f>
        <v>0</v>
      </c>
    </row>
    <row r="93" spans="3:5" x14ac:dyDescent="0.25">
      <c r="C93" t="str">
        <f>Materiaalihinnoittelut!B54</f>
        <v>Sinkilä / niitti</v>
      </c>
      <c r="E93" s="4">
        <f>Materiaalihinnoittelut!E54</f>
        <v>0</v>
      </c>
    </row>
    <row r="94" spans="3:5" hidden="1" x14ac:dyDescent="0.25">
      <c r="C94" t="str">
        <f>Materiaalihinnoittelut!B55</f>
        <v xml:space="preserve">Parkettikiila 200 kpl </v>
      </c>
      <c r="E94" s="4">
        <f>Materiaalihinnoittelut!E55</f>
        <v>0</v>
      </c>
    </row>
    <row r="95" spans="3:5" hidden="1" x14ac:dyDescent="0.25">
      <c r="C95">
        <f>Materiaalihinnoittelut!B56</f>
        <v>0</v>
      </c>
      <c r="E95" s="4">
        <f>Materiaalihinnoittelut!E56</f>
        <v>0</v>
      </c>
    </row>
    <row r="96" spans="3:5" hidden="1" x14ac:dyDescent="0.25">
      <c r="C96" t="str">
        <f>Materiaalihinnoittelut!B57</f>
        <v>Raudoitusverkko 4-150</v>
      </c>
      <c r="E96" s="4">
        <f>Materiaalihinnoittelut!E57</f>
        <v>0</v>
      </c>
    </row>
    <row r="97" spans="3:5" hidden="1" x14ac:dyDescent="0.25">
      <c r="C97" t="str">
        <f>Materiaalihinnoittelut!B58</f>
        <v>Raudoitusverkko 6-150</v>
      </c>
      <c r="E97" s="4">
        <f>Materiaalihinnoittelut!E58</f>
        <v>0</v>
      </c>
    </row>
    <row r="98" spans="3:5" hidden="1" x14ac:dyDescent="0.25">
      <c r="C98" t="str">
        <f>Materiaalihinnoittelut!B59</f>
        <v>Raudoituskoroke</v>
      </c>
      <c r="E98" s="4">
        <f>Materiaalihinnoittelut!E59</f>
        <v>0</v>
      </c>
    </row>
    <row r="99" spans="3:5" hidden="1" x14ac:dyDescent="0.25">
      <c r="C99" t="str">
        <f>Materiaalihinnoittelut!B60</f>
        <v>Vuorio surrauskoukku</v>
      </c>
      <c r="E99" s="4">
        <f>Materiaalihinnoittelut!E60</f>
        <v>0</v>
      </c>
    </row>
    <row r="100" spans="3:5" hidden="1" x14ac:dyDescent="0.25">
      <c r="C100" t="str">
        <f>Materiaalihinnoittelut!B61</f>
        <v>Styrox lattia 50mm</v>
      </c>
      <c r="E100" s="4">
        <f>Materiaalihinnoittelut!E61</f>
        <v>0</v>
      </c>
    </row>
    <row r="101" spans="3:5" hidden="1" x14ac:dyDescent="0.25">
      <c r="C101" t="str">
        <f>Materiaalihinnoittelut!B62</f>
        <v>Puhdistus ja saumaushiekka 20 kg</v>
      </c>
      <c r="E101" s="4">
        <f>Materiaalihinnoittelut!E62</f>
        <v>0</v>
      </c>
    </row>
    <row r="102" spans="3:5" hidden="1" x14ac:dyDescent="0.25">
      <c r="C102" t="str">
        <f>Materiaalihinnoittelut!B63</f>
        <v>Sidelanka 0,9mm 5kg</v>
      </c>
      <c r="E102" s="4">
        <f>Materiaalihinnoittelut!E63</f>
        <v>0</v>
      </c>
    </row>
    <row r="103" spans="3:5" hidden="1" x14ac:dyDescent="0.25">
      <c r="C103" t="str">
        <f>Materiaalihinnoittelut!B64</f>
        <v>Ankkurointimassa</v>
      </c>
      <c r="E103" s="4">
        <f>Materiaalihinnoittelut!E64</f>
        <v>0</v>
      </c>
    </row>
    <row r="104" spans="3:5" hidden="1" x14ac:dyDescent="0.25">
      <c r="C104">
        <f>Materiaalihinnoittelut!B65</f>
        <v>0</v>
      </c>
      <c r="E104" s="4">
        <f>Materiaalihinnoittelut!E65</f>
        <v>0</v>
      </c>
    </row>
    <row r="105" spans="3:5" hidden="1" x14ac:dyDescent="0.25">
      <c r="C105" t="str">
        <f>Materiaalihinnoittelut!B66</f>
        <v>Kärkihiomakoneen latta</v>
      </c>
      <c r="E105" s="4">
        <f>Materiaalihinnoittelut!E66</f>
        <v>0</v>
      </c>
    </row>
    <row r="106" spans="3:5" hidden="1" x14ac:dyDescent="0.25">
      <c r="C106" t="str">
        <f>Materiaalihinnoittelut!B67</f>
        <v>Tarrahiomapyörö</v>
      </c>
      <c r="E106" s="4">
        <f>Materiaalihinnoittelut!E67</f>
        <v>0</v>
      </c>
    </row>
    <row r="107" spans="3:5" hidden="1" x14ac:dyDescent="0.25">
      <c r="C107" t="str">
        <f>Materiaalihinnoittelut!B68</f>
        <v>Hiomapaperirulla</v>
      </c>
      <c r="E107" s="4">
        <f>Materiaalihinnoittelut!E68</f>
        <v>0</v>
      </c>
    </row>
    <row r="108" spans="3:5" hidden="1" x14ac:dyDescent="0.25">
      <c r="C108">
        <f>Materiaalihinnoittelut!B69</f>
        <v>0</v>
      </c>
      <c r="E108" s="4">
        <f>Materiaalihinnoittelut!E69</f>
        <v>0</v>
      </c>
    </row>
    <row r="109" spans="3:5" x14ac:dyDescent="0.25">
      <c r="C109" t="str">
        <f>Materiaalihinnoittelut!B70</f>
        <v>Kovalevy 3x1220x2745</v>
      </c>
      <c r="E109" s="4">
        <f>Materiaalihinnoittelut!E70</f>
        <v>0</v>
      </c>
    </row>
    <row r="110" spans="3:5" hidden="1" x14ac:dyDescent="0.25">
      <c r="C110" t="str">
        <f>Materiaalihinnoittelut!B71</f>
        <v>Tarramatto</v>
      </c>
      <c r="E110" s="4">
        <f>Materiaalihinnoittelut!E71</f>
        <v>0</v>
      </c>
    </row>
    <row r="111" spans="3:5" hidden="1" x14ac:dyDescent="0.25">
      <c r="C111" t="str">
        <f>Materiaalihinnoittelut!B72</f>
        <v>Suojapaperi 30m2</v>
      </c>
      <c r="E111" s="4">
        <f>Materiaalihinnoittelut!E72</f>
        <v>0</v>
      </c>
    </row>
    <row r="112" spans="3:5" x14ac:dyDescent="0.25">
      <c r="C112" t="str">
        <f>Materiaalihinnoittelut!B73</f>
        <v>Suojapahvi RAW 100m2</v>
      </c>
      <c r="E112" s="4">
        <f>Materiaalihinnoittelut!E73</f>
        <v>0</v>
      </c>
    </row>
    <row r="113" spans="3:5" hidden="1" x14ac:dyDescent="0.25">
      <c r="C113" t="str">
        <f>Materiaalihinnoittelut!B74</f>
        <v>Lattiasuoja remppa monikerros</v>
      </c>
      <c r="E113" s="4">
        <f>Materiaalihinnoittelut!E74</f>
        <v>0</v>
      </c>
    </row>
    <row r="114" spans="3:5" hidden="1" x14ac:dyDescent="0.25">
      <c r="C114" t="str">
        <f>Materiaalihinnoittelut!B75</f>
        <v>Lattiaouoja formax itsekiin.</v>
      </c>
      <c r="E114" s="4">
        <f>Materiaalihinnoittelut!E75</f>
        <v>0</v>
      </c>
    </row>
    <row r="115" spans="3:5" hidden="1" x14ac:dyDescent="0.25">
      <c r="C115" t="str">
        <f>Materiaalihinnoittelut!B76</f>
        <v>Suojamuovi</v>
      </c>
      <c r="E115" s="4">
        <f>Materiaalihinnoittelut!E76</f>
        <v>0</v>
      </c>
    </row>
    <row r="116" spans="3:5" x14ac:dyDescent="0.25">
      <c r="C116" t="str">
        <f>Materiaalihinnoittelut!B77</f>
        <v>Raskas suojamuovi, 0,2 kalvo</v>
      </c>
      <c r="E116" s="4">
        <f>Materiaalihinnoittelut!E77</f>
        <v>0</v>
      </c>
    </row>
    <row r="117" spans="3:5" hidden="1" x14ac:dyDescent="0.25">
      <c r="C117" t="str">
        <f>Materiaalihinnoittelut!B78</f>
        <v>Rockwool 50mm 570x1170</v>
      </c>
      <c r="E117" s="4">
        <f>Materiaalihinnoittelut!E78</f>
        <v>0</v>
      </c>
    </row>
    <row r="118" spans="3:5" hidden="1" x14ac:dyDescent="0.25">
      <c r="C118" t="str">
        <f>Materiaalihinnoittelut!B79</f>
        <v>Rockwool 70mm</v>
      </c>
      <c r="E118" s="4">
        <f>Materiaalihinnoittelut!E79</f>
        <v>0</v>
      </c>
    </row>
    <row r="119" spans="3:5" hidden="1" x14ac:dyDescent="0.25">
      <c r="C119" t="str">
        <f>Materiaalihinnoittelut!B80</f>
        <v>Paroc Extra 70mm 610x1170</v>
      </c>
      <c r="E119" s="4">
        <f>Materiaalihinnoittelut!E80</f>
        <v>0</v>
      </c>
    </row>
    <row r="120" spans="3:5" hidden="1" x14ac:dyDescent="0.25">
      <c r="C120" t="str">
        <f>Materiaalihinnoittelut!B81</f>
        <v>Isover Ecobatt rankavilla</v>
      </c>
      <c r="E120" s="4">
        <f>Materiaalihinnoittelut!E81</f>
        <v>0</v>
      </c>
    </row>
    <row r="121" spans="3:5" hidden="1" x14ac:dyDescent="0.25">
      <c r="C121" t="str">
        <f>Materiaalihinnoittelut!B82</f>
        <v>Isolina 50mm pellavaeriste</v>
      </c>
      <c r="E121" s="4">
        <f>Materiaalihinnoittelut!E82</f>
        <v>0</v>
      </c>
    </row>
    <row r="122" spans="3:5" hidden="1" x14ac:dyDescent="0.25">
      <c r="C122" t="str">
        <f>Materiaalihinnoittelut!B83</f>
        <v>Isover FLO 50mm</v>
      </c>
      <c r="E122" s="4">
        <f>Materiaalihinnoittelut!E83</f>
        <v>0</v>
      </c>
    </row>
    <row r="123" spans="3:5" hidden="1" x14ac:dyDescent="0.25">
      <c r="C123" t="str">
        <f>Materiaalihinnoittelut!B84</f>
        <v>Ekovilla puru käsinlevitykseen</v>
      </c>
      <c r="E123" s="4">
        <f>Materiaalihinnoittelut!E84</f>
        <v>0</v>
      </c>
    </row>
    <row r="124" spans="3:5" hidden="1" x14ac:dyDescent="0.25">
      <c r="C124" t="str">
        <f>Materiaalihinnoittelut!B85</f>
        <v>Sylomer-kaista SR220, 12,5mm</v>
      </c>
      <c r="E124" s="4">
        <f>Materiaalihinnoittelut!E85</f>
        <v>0</v>
      </c>
    </row>
    <row r="125" spans="3:5" hidden="1" x14ac:dyDescent="0.25">
      <c r="C125">
        <f>Materiaalihinnoittelut!B86</f>
        <v>0</v>
      </c>
      <c r="E125" s="4">
        <f>Materiaalihinnoittelut!E86</f>
        <v>0</v>
      </c>
    </row>
    <row r="126" spans="3:5" hidden="1" x14ac:dyDescent="0.25">
      <c r="C126" t="str">
        <f>Materiaalihinnoittelut!B87</f>
        <v>Saumanauha</v>
      </c>
      <c r="E126" s="4">
        <f>Materiaalihinnoittelut!E87</f>
        <v>0</v>
      </c>
    </row>
    <row r="127" spans="3:5" hidden="1" x14ac:dyDescent="0.25">
      <c r="C127" t="str">
        <f>Materiaalihinnoittelut!B88</f>
        <v>Reunavahvisteinen sumanauha</v>
      </c>
      <c r="E127" s="4">
        <f>Materiaalihinnoittelut!E88</f>
        <v>0</v>
      </c>
    </row>
    <row r="128" spans="3:5" hidden="1" x14ac:dyDescent="0.25">
      <c r="C128" t="str">
        <f>Materiaalihinnoittelut!B89</f>
        <v>Akryylimassa</v>
      </c>
      <c r="E128" s="4">
        <f>Materiaalihinnoittelut!E89</f>
        <v>0</v>
      </c>
    </row>
    <row r="129" spans="3:5" hidden="1" x14ac:dyDescent="0.25">
      <c r="C129" t="str">
        <f>Materiaalihinnoittelut!B90</f>
        <v>Paloakryyli Nullfire</v>
      </c>
      <c r="E129" s="4">
        <f>Materiaalihinnoittelut!E90</f>
        <v>0</v>
      </c>
    </row>
    <row r="130" spans="3:5" hidden="1" x14ac:dyDescent="0.25">
      <c r="C130" t="str">
        <f>Materiaalihinnoittelut!B91</f>
        <v>Maalarin teippi</v>
      </c>
      <c r="E130" s="4">
        <f>Materiaalihinnoittelut!E91</f>
        <v>0</v>
      </c>
    </row>
    <row r="131" spans="3:5" hidden="1" x14ac:dyDescent="0.25">
      <c r="C131" t="str">
        <f>Materiaalihinnoittelut!B92</f>
        <v>Oranssi teippi</v>
      </c>
      <c r="E131" s="4">
        <f>Materiaalihinnoittelut!E92</f>
        <v>0</v>
      </c>
    </row>
    <row r="132" spans="3:5" hidden="1" x14ac:dyDescent="0.25">
      <c r="C132" t="str">
        <f>Materiaalihinnoittelut!B93</f>
        <v xml:space="preserve">Nurkkavahvike </v>
      </c>
      <c r="E132" s="4">
        <f>Materiaalihinnoittelut!E93</f>
        <v>0</v>
      </c>
    </row>
    <row r="133" spans="3:5" hidden="1" x14ac:dyDescent="0.25">
      <c r="C133" t="str">
        <f>Materiaalihinnoittelut!B94</f>
        <v>Speed mask</v>
      </c>
      <c r="E133" s="4">
        <f>Materiaalihinnoittelut!E94</f>
        <v>0</v>
      </c>
    </row>
    <row r="134" spans="3:5" hidden="1" x14ac:dyDescent="0.25">
      <c r="C134" t="str">
        <f>Materiaalihinnoittelut!B95</f>
        <v>Sinkilä / niitti</v>
      </c>
      <c r="E134" s="4">
        <f>Materiaalihinnoittelut!E95</f>
        <v>0</v>
      </c>
    </row>
    <row r="135" spans="3:5" hidden="1" x14ac:dyDescent="0.25">
      <c r="C135" t="str">
        <f>Materiaalihinnoittelut!B96</f>
        <v>Kiilto 66 yleisliima, 10l</v>
      </c>
      <c r="E135" s="4">
        <f>Materiaalihinnoittelut!E96</f>
        <v>0</v>
      </c>
    </row>
    <row r="136" spans="3:5" hidden="1" x14ac:dyDescent="0.25">
      <c r="C136">
        <f>Materiaalihinnoittelut!B97</f>
        <v>0</v>
      </c>
      <c r="E136" s="4">
        <f>Materiaalihinnoittelut!E97</f>
        <v>0</v>
      </c>
    </row>
    <row r="137" spans="3:5" hidden="1" x14ac:dyDescent="0.25">
      <c r="C137" t="str">
        <f>Materiaalihinnoittelut!B98</f>
        <v>Yleisruuvi 4x50, 200kpl</v>
      </c>
      <c r="E137" s="4">
        <f>Materiaalihinnoittelut!E98</f>
        <v>0</v>
      </c>
    </row>
    <row r="138" spans="3:5" hidden="1" x14ac:dyDescent="0.25">
      <c r="C138" t="str">
        <f>Materiaalihinnoittelut!B99</f>
        <v>Nauharuuvi 3,9x41, 1000kpl</v>
      </c>
      <c r="E138" s="4">
        <f>Materiaalihinnoittelut!E99</f>
        <v>0</v>
      </c>
    </row>
    <row r="139" spans="3:5" hidden="1" x14ac:dyDescent="0.25">
      <c r="C139" t="str">
        <f>Materiaalihinnoittelut!B100</f>
        <v>50mm viimeistelynaula + kaasu 2000 kpl</v>
      </c>
      <c r="E139" s="4">
        <f>Materiaalihinnoittelut!E100</f>
        <v>0</v>
      </c>
    </row>
    <row r="140" spans="3:5" hidden="1" x14ac:dyDescent="0.25">
      <c r="C140" t="str">
        <f>Materiaalihinnoittelut!B101</f>
        <v>Uretaaniliima</v>
      </c>
      <c r="E140" s="4">
        <f>Materiaalihinnoittelut!E101</f>
        <v>0</v>
      </c>
    </row>
    <row r="141" spans="3:5" hidden="1" x14ac:dyDescent="0.25">
      <c r="C141" t="str">
        <f>Materiaalihinnoittelut!B102</f>
        <v>Sikaboom uretaani</v>
      </c>
      <c r="E141" s="4">
        <f>Materiaalihinnoittelut!E102</f>
        <v>0</v>
      </c>
    </row>
    <row r="142" spans="3:5" hidden="1" x14ac:dyDescent="0.25">
      <c r="C142" t="str">
        <f>Materiaalihinnoittelut!B103</f>
        <v>Palouretaani</v>
      </c>
      <c r="E142" s="4">
        <f>Materiaalihinnoittelut!E103</f>
        <v>0</v>
      </c>
    </row>
    <row r="143" spans="3:5" hidden="1" x14ac:dyDescent="0.25">
      <c r="C143" t="str">
        <f>Materiaalihinnoittelut!B104</f>
        <v>IM90 runkonaulasetti 90mm</v>
      </c>
      <c r="E143" s="4">
        <f>Materiaalihinnoittelut!E104</f>
        <v>0</v>
      </c>
    </row>
    <row r="144" spans="3:5" hidden="1" x14ac:dyDescent="0.25">
      <c r="C144" t="str">
        <f>Materiaalihinnoittelut!B105</f>
        <v>Pikanaula 8x90, 100 kpl</v>
      </c>
      <c r="E144" s="4">
        <f>Materiaalihinnoittelut!E105</f>
        <v>0</v>
      </c>
    </row>
    <row r="145" spans="3:5" hidden="1" x14ac:dyDescent="0.25">
      <c r="C145">
        <f>Materiaalihinnoittelut!B106</f>
        <v>0</v>
      </c>
      <c r="E145" s="4">
        <f>Materiaalihinnoittelut!E106</f>
        <v>0</v>
      </c>
    </row>
    <row r="146" spans="3:5" hidden="1" x14ac:dyDescent="0.25">
      <c r="C146" t="str">
        <f>Materiaalihinnoittelut!B107</f>
        <v>Rappausohjuri</v>
      </c>
      <c r="E146" s="4">
        <f>Materiaalihinnoittelut!E107</f>
        <v>0</v>
      </c>
    </row>
    <row r="147" spans="3:5" hidden="1" x14ac:dyDescent="0.25">
      <c r="C147" t="str">
        <f>Materiaalihinnoittelut!B108</f>
        <v>Lasikuituverkko 4-6mm</v>
      </c>
      <c r="E147" s="4">
        <f>Materiaalihinnoittelut!E108</f>
        <v>0</v>
      </c>
    </row>
    <row r="148" spans="3:5" hidden="1" x14ac:dyDescent="0.25">
      <c r="C148" t="str">
        <f>Materiaalihinnoittelut!B109</f>
        <v>Lasikuitukulmaprofiili</v>
      </c>
      <c r="E148" s="4">
        <f>Materiaalihinnoittelut!E109</f>
        <v>0</v>
      </c>
    </row>
    <row r="149" spans="3:5" hidden="1" x14ac:dyDescent="0.25">
      <c r="C149" t="str">
        <f>Materiaalihinnoittelut!B110</f>
        <v>Lasikuitualoituslista</v>
      </c>
      <c r="E149" s="4">
        <f>Materiaalihinnoittelut!E110</f>
        <v>0</v>
      </c>
    </row>
    <row r="150" spans="3:5" hidden="1" x14ac:dyDescent="0.25">
      <c r="C150" t="str">
        <f>Materiaalihinnoittelut!B111</f>
        <v>Aloitusprofiili</v>
      </c>
      <c r="E150" s="4">
        <f>Materiaalihinnoittelut!E111</f>
        <v>0</v>
      </c>
    </row>
    <row r="151" spans="3:5" hidden="1" x14ac:dyDescent="0.25">
      <c r="C151" t="str">
        <f>Materiaalihinnoittelut!B112</f>
        <v>Ikkunaprofiili</v>
      </c>
      <c r="E151" s="4">
        <f>Materiaalihinnoittelut!E112</f>
        <v>0</v>
      </c>
    </row>
    <row r="152" spans="3:5" hidden="1" x14ac:dyDescent="0.25">
      <c r="C152" t="str">
        <f>Materiaalihinnoittelut!B113</f>
        <v>Vetonit Silcomaali</v>
      </c>
      <c r="E152" s="4">
        <f>Materiaalihinnoittelut!E113</f>
        <v>0</v>
      </c>
    </row>
    <row r="153" spans="3:5" hidden="1" x14ac:dyDescent="0.25">
      <c r="C153" t="str">
        <f>Materiaalihinnoittelut!B114</f>
        <v>Vetonit Silco+ pinnoite, valkoinen</v>
      </c>
      <c r="E153" s="4">
        <f>Materiaalihinnoittelut!E114</f>
        <v>0</v>
      </c>
    </row>
    <row r="154" spans="3:5" hidden="1" x14ac:dyDescent="0.25">
      <c r="C154" t="str">
        <f>Materiaalihinnoittelut!B115</f>
        <v>Rensa Julkisivunpesuaine</v>
      </c>
      <c r="E154" s="4">
        <f>Materiaalihinnoittelut!E115</f>
        <v>0</v>
      </c>
    </row>
    <row r="155" spans="3:5" hidden="1" x14ac:dyDescent="0.25">
      <c r="C155">
        <f>Materiaalihinnoittelut!B116</f>
        <v>0</v>
      </c>
      <c r="E155" s="4">
        <f>Materiaalihinnoittelut!E116</f>
        <v>0</v>
      </c>
    </row>
    <row r="156" spans="3:5" hidden="1" x14ac:dyDescent="0.25">
      <c r="C156">
        <f>Materiaalihinnoittelut!B117</f>
        <v>0</v>
      </c>
      <c r="E156" s="4">
        <f>Materiaalihinnoittelut!E117</f>
        <v>0</v>
      </c>
    </row>
    <row r="157" spans="3:5" hidden="1" x14ac:dyDescent="0.25">
      <c r="C157">
        <f>Materiaalihinnoittelut!B118</f>
        <v>0</v>
      </c>
      <c r="E157" s="4">
        <f>Materiaalihinnoittelut!E118</f>
        <v>0</v>
      </c>
    </row>
    <row r="158" spans="3:5" hidden="1" x14ac:dyDescent="0.25">
      <c r="C158" t="str">
        <f>Materiaalihinnoittelut!B119</f>
        <v>Pistotelan varsi, 25cm</v>
      </c>
      <c r="E158" s="4">
        <f>Materiaalihinnoittelut!E119</f>
        <v>0</v>
      </c>
    </row>
    <row r="159" spans="3:5" hidden="1" x14ac:dyDescent="0.25">
      <c r="C159" t="str">
        <f>Materiaalihinnoittelut!B120</f>
        <v>23cm anza rilon tela (punanen)</v>
      </c>
      <c r="E159" s="4">
        <f>Materiaalihinnoittelut!E120</f>
        <v>0</v>
      </c>
    </row>
    <row r="160" spans="3:5" hidden="1" x14ac:dyDescent="0.25">
      <c r="C160" t="str">
        <f>Materiaalihinnoittelut!B121</f>
        <v>Huopatela 18cm</v>
      </c>
      <c r="E160" s="4">
        <f>Materiaalihinnoittelut!E121</f>
        <v>0</v>
      </c>
    </row>
    <row r="161" spans="3:5" hidden="1" x14ac:dyDescent="0.25">
      <c r="C161" t="str">
        <f>Materiaalihinnoittelut!B122</f>
        <v>Pistotelan varsi, 18cm</v>
      </c>
      <c r="E161" s="4">
        <f>Materiaalihinnoittelut!E122</f>
        <v>0</v>
      </c>
    </row>
    <row r="162" spans="3:5" hidden="1" x14ac:dyDescent="0.25">
      <c r="C162" t="str">
        <f>Materiaalihinnoittelut!B123</f>
        <v>Vesieristetelasetti</v>
      </c>
      <c r="E162" s="4">
        <f>Materiaalihinnoittelut!E123</f>
        <v>0</v>
      </c>
    </row>
    <row r="163" spans="3:5" hidden="1" x14ac:dyDescent="0.25">
      <c r="C163" t="str">
        <f>Materiaalihinnoittelut!B124</f>
        <v>Pistotelan varsi, 10-15cm</v>
      </c>
      <c r="E163" s="4">
        <f>Materiaalihinnoittelut!E124</f>
        <v>0</v>
      </c>
    </row>
    <row r="164" spans="3:5" hidden="1" x14ac:dyDescent="0.25">
      <c r="C164" t="str">
        <f>Materiaalihinnoittelut!B125</f>
        <v>Mikrokuitutela 15cm</v>
      </c>
      <c r="E164" s="4">
        <f>Materiaalihinnoittelut!E125</f>
        <v>0</v>
      </c>
    </row>
    <row r="165" spans="3:5" hidden="1" x14ac:dyDescent="0.25">
      <c r="C165" t="str">
        <f>Materiaalihinnoittelut!B126</f>
        <v>Leveä sivellin 120</v>
      </c>
      <c r="E165" s="4">
        <f>Materiaalihinnoittelut!E126</f>
        <v>0</v>
      </c>
    </row>
    <row r="166" spans="3:5" hidden="1" x14ac:dyDescent="0.25">
      <c r="C166" t="str">
        <f>Materiaalihinnoittelut!B127</f>
        <v>Sivellinsetti 3kpl</v>
      </c>
      <c r="E166" s="4">
        <f>Materiaalihinnoittelut!E127</f>
        <v>0</v>
      </c>
    </row>
    <row r="167" spans="3:5" hidden="1" x14ac:dyDescent="0.25">
      <c r="C167" t="str">
        <f>Materiaalihinnoittelut!B128</f>
        <v>Lakkasivellin 35-75mm</v>
      </c>
      <c r="E167" s="4">
        <f>Materiaalihinnoittelut!E128</f>
        <v>0</v>
      </c>
    </row>
    <row r="168" spans="3:5" hidden="1" x14ac:dyDescent="0.25">
      <c r="C168">
        <f>Materiaalihinnoittelut!B129</f>
        <v>0</v>
      </c>
      <c r="E168" s="4">
        <f>Materiaalihinnoittelut!E129</f>
        <v>0</v>
      </c>
    </row>
    <row r="169" spans="3:5" hidden="1" x14ac:dyDescent="0.25">
      <c r="C169">
        <f>Materiaalihinnoittelut!B130</f>
        <v>0</v>
      </c>
      <c r="E169" s="4">
        <f>Materiaalihinnoittelut!E130</f>
        <v>0</v>
      </c>
    </row>
    <row r="170" spans="3:5" hidden="1" x14ac:dyDescent="0.25">
      <c r="C170" t="str">
        <f>Materiaalihinnoittelut!B131</f>
        <v>Weber MT 20kg</v>
      </c>
      <c r="E170" s="4">
        <f>Materiaalihinnoittelut!E131</f>
        <v>0</v>
      </c>
    </row>
    <row r="171" spans="3:5" hidden="1" x14ac:dyDescent="0.25">
      <c r="C171" t="str">
        <f>Materiaalihinnoittelut!B132</f>
        <v>Weber TT 20kg</v>
      </c>
      <c r="E171" s="4">
        <f>Materiaalihinnoittelut!E132</f>
        <v>0</v>
      </c>
    </row>
    <row r="172" spans="3:5" hidden="1" x14ac:dyDescent="0.25">
      <c r="C172" t="str">
        <f>Materiaalihinnoittelut!B133</f>
        <v>Knauf käsikipsilaasti Goldband 20 kg</v>
      </c>
      <c r="E172" s="4">
        <f>Materiaalihinnoittelut!E133</f>
        <v>0</v>
      </c>
    </row>
    <row r="173" spans="3:5" hidden="1" x14ac:dyDescent="0.25">
      <c r="C173" t="str">
        <f>Materiaalihinnoittelut!B134</f>
        <v>Knauf konekipsilaasti MPL75 30kg</v>
      </c>
      <c r="E173" s="4">
        <f>Materiaalihinnoittelut!E134</f>
        <v>0</v>
      </c>
    </row>
    <row r="174" spans="3:5" hidden="1" x14ac:dyDescent="0.25">
      <c r="C174" t="str">
        <f>Materiaalihinnoittelut!B135</f>
        <v>Weber L 20kg</v>
      </c>
      <c r="E174" s="4">
        <f>Materiaalihinnoittelut!E135</f>
        <v>0</v>
      </c>
    </row>
    <row r="175" spans="3:5" hidden="1" x14ac:dyDescent="0.25">
      <c r="C175" t="str">
        <f>Materiaalihinnoittelut!B136</f>
        <v>Weber LR+ 20kg</v>
      </c>
      <c r="E175" s="4">
        <f>Materiaalihinnoittelut!E136</f>
        <v>0</v>
      </c>
    </row>
    <row r="176" spans="3:5" hidden="1" x14ac:dyDescent="0.25">
      <c r="C176" t="str">
        <f>Materiaalihinnoittelut!B137</f>
        <v>Weber V+</v>
      </c>
      <c r="E176" s="4">
        <f>Materiaalihinnoittelut!E137</f>
        <v>0</v>
      </c>
    </row>
    <row r="177" spans="3:5" hidden="1" x14ac:dyDescent="0.25">
      <c r="C177" t="str">
        <f>Materiaalihinnoittelut!B138</f>
        <v>Weber JS 20kg</v>
      </c>
      <c r="E177" s="4">
        <f>Materiaalihinnoittelut!E138</f>
        <v>0</v>
      </c>
    </row>
    <row r="178" spans="3:5" hidden="1" x14ac:dyDescent="0.25">
      <c r="C178" t="str">
        <f>Materiaalihinnoittelut!B139</f>
        <v>Weber JS 5kg</v>
      </c>
      <c r="E178" s="4">
        <f>Materiaalihinnoittelut!E139</f>
        <v>0</v>
      </c>
    </row>
    <row r="179" spans="3:5" hidden="1" x14ac:dyDescent="0.25">
      <c r="C179" t="str">
        <f>Materiaalihinnoittelut!B140</f>
        <v>Teknos J</v>
      </c>
      <c r="E179" s="4">
        <f>Materiaalihinnoittelut!E140</f>
        <v>0</v>
      </c>
    </row>
    <row r="180" spans="3:5" hidden="1" x14ac:dyDescent="0.25">
      <c r="C180" t="str">
        <f>Materiaalihinnoittelut!B141</f>
        <v>Teknos LF</v>
      </c>
      <c r="E180" s="4">
        <f>Materiaalihinnoittelut!E141</f>
        <v>0</v>
      </c>
    </row>
    <row r="181" spans="3:5" hidden="1" x14ac:dyDescent="0.25">
      <c r="C181" t="str">
        <f>Materiaalihinnoittelut!B142</f>
        <v>Teknos LG</v>
      </c>
      <c r="E181" s="4">
        <f>Materiaalihinnoittelut!E142</f>
        <v>0</v>
      </c>
    </row>
    <row r="182" spans="3:5" hidden="1" x14ac:dyDescent="0.25">
      <c r="C182" t="str">
        <f>Materiaalihinnoittelut!B143</f>
        <v>Teknos LW</v>
      </c>
      <c r="E182" s="4">
        <f>Materiaalihinnoittelut!E143</f>
        <v>0</v>
      </c>
    </row>
    <row r="183" spans="3:5" hidden="1" x14ac:dyDescent="0.25">
      <c r="C183" t="str">
        <f>Materiaalihinnoittelut!B144</f>
        <v>Ardex R4</v>
      </c>
      <c r="E183" s="4">
        <f>Materiaalihinnoittelut!E144</f>
        <v>0</v>
      </c>
    </row>
    <row r="184" spans="3:5" hidden="1" x14ac:dyDescent="0.25">
      <c r="C184" t="str">
        <f>Materiaalihinnoittelut!B145</f>
        <v>Weber MD16 3l</v>
      </c>
      <c r="E184" s="4">
        <f>Materiaalihinnoittelut!E145</f>
        <v>0</v>
      </c>
    </row>
    <row r="185" spans="3:5" hidden="1" x14ac:dyDescent="0.25">
      <c r="C185" t="str">
        <f>Materiaalihinnoittelut!B146</f>
        <v>Weber saneerauslaasti RF</v>
      </c>
      <c r="E185" s="4">
        <f>Materiaalihinnoittelut!E146</f>
        <v>0</v>
      </c>
    </row>
    <row r="186" spans="3:5" hidden="1" x14ac:dyDescent="0.25">
      <c r="C186" t="str">
        <f>Materiaalihinnoittelut!B147</f>
        <v>Kiilto saneerauslaasti superfix 15kg</v>
      </c>
      <c r="E186" s="4">
        <f>Materiaalihinnoittelut!E147</f>
        <v>0</v>
      </c>
    </row>
    <row r="187" spans="3:5" hidden="1" x14ac:dyDescent="0.25">
      <c r="C187" t="str">
        <f>Materiaalihinnoittelut!B148</f>
        <v>Weber supra</v>
      </c>
      <c r="E187" s="4">
        <f>Materiaalihinnoittelut!E148</f>
        <v>0</v>
      </c>
    </row>
    <row r="188" spans="3:5" hidden="1" x14ac:dyDescent="0.25">
      <c r="C188" t="str">
        <f>Materiaalihinnoittelut!B149</f>
        <v>Weber 6000 20kg</v>
      </c>
      <c r="E188" s="4">
        <f>Materiaalihinnoittelut!E149</f>
        <v>0</v>
      </c>
    </row>
    <row r="189" spans="3:5" hidden="1" x14ac:dyDescent="0.25">
      <c r="C189" t="str">
        <f>Materiaalihinnoittelut!B150</f>
        <v>Fescon pikabetoni 25 kg</v>
      </c>
      <c r="E189" s="4">
        <f>Materiaalihinnoittelut!E150</f>
        <v>0</v>
      </c>
    </row>
    <row r="190" spans="3:5" hidden="1" x14ac:dyDescent="0.25">
      <c r="C190" t="str">
        <f>Materiaalihinnoittelut!B151</f>
        <v>Fescon muurauslaasti 100/600</v>
      </c>
      <c r="E190" s="4">
        <f>Materiaalihinnoittelut!E151</f>
        <v>0</v>
      </c>
    </row>
    <row r="191" spans="3:5" hidden="1" x14ac:dyDescent="0.25">
      <c r="C191" t="str">
        <f>Materiaalihinnoittelut!B152</f>
        <v>Weber 5400</v>
      </c>
      <c r="E191" s="4">
        <f>Materiaalihinnoittelut!E152</f>
        <v>0</v>
      </c>
    </row>
    <row r="192" spans="3:5" hidden="1" x14ac:dyDescent="0.25">
      <c r="C192" t="str">
        <f>Materiaalihinnoittelut!B153</f>
        <v>Kiilto lattialämmitystasoite DF</v>
      </c>
      <c r="E192" s="4">
        <f>Materiaalihinnoittelut!E153</f>
        <v>0</v>
      </c>
    </row>
    <row r="193" spans="3:5" hidden="1" x14ac:dyDescent="0.25">
      <c r="C193" t="str">
        <f>Materiaalihinnoittelut!B154</f>
        <v>Weber 5000 20kg</v>
      </c>
      <c r="E193" s="4">
        <f>Materiaalihinnoittelut!E154</f>
        <v>0</v>
      </c>
    </row>
    <row r="194" spans="3:5" hidden="1" x14ac:dyDescent="0.25">
      <c r="C194" t="str">
        <f>Materiaalihinnoittelut!B155</f>
        <v>Weber 3100 20kg</v>
      </c>
      <c r="E194" s="4">
        <f>Materiaalihinnoittelut!E155</f>
        <v>0</v>
      </c>
    </row>
    <row r="195" spans="3:5" hidden="1" x14ac:dyDescent="0.25">
      <c r="C195" t="str">
        <f>Materiaalihinnoittelut!B156</f>
        <v>Weber 3300</v>
      </c>
      <c r="E195" s="4">
        <f>Materiaalihinnoittelut!E156</f>
        <v>0</v>
      </c>
    </row>
    <row r="196" spans="3:5" hidden="1" x14ac:dyDescent="0.25">
      <c r="C196" t="str">
        <f>Materiaalihinnoittelut!B157</f>
        <v>Kiilto lattialämmitystasoite DF</v>
      </c>
      <c r="E196" s="4">
        <f>Materiaalihinnoittelut!E157</f>
        <v>0</v>
      </c>
    </row>
    <row r="197" spans="3:5" hidden="1" x14ac:dyDescent="0.25">
      <c r="C197" t="str">
        <f>Materiaalihinnoittelut!B158</f>
        <v>Kiilto 80</v>
      </c>
      <c r="E197" s="4">
        <f>Materiaalihinnoittelut!E158</f>
        <v>0</v>
      </c>
    </row>
    <row r="198" spans="3:5" hidden="1" x14ac:dyDescent="0.25">
      <c r="C198" t="str">
        <f>Materiaalihinnoittelut!B159</f>
        <v>Vetonit PTM</v>
      </c>
      <c r="E198" s="4">
        <f>Materiaalihinnoittelut!E159</f>
        <v>0</v>
      </c>
    </row>
    <row r="199" spans="3:5" hidden="1" x14ac:dyDescent="0.25">
      <c r="C199" t="str">
        <f>Materiaalihinnoittelut!B160</f>
        <v>Kiilto TM pikatäyttömassa</v>
      </c>
      <c r="E199" s="4">
        <f>Materiaalihinnoittelut!E160</f>
        <v>0</v>
      </c>
    </row>
    <row r="200" spans="3:5" hidden="1" x14ac:dyDescent="0.25">
      <c r="C200" t="str">
        <f>Materiaalihinnoittelut!B161</f>
        <v>Vetonit WP 15l</v>
      </c>
      <c r="E200" s="4">
        <f>Materiaalihinnoittelut!E161</f>
        <v>0</v>
      </c>
    </row>
    <row r="201" spans="3:5" hidden="1" x14ac:dyDescent="0.25">
      <c r="C201" t="str">
        <f>Materiaalihinnoittelut!B162</f>
        <v>WP 10l</v>
      </c>
      <c r="E201" s="4">
        <f>Materiaalihinnoittelut!E162</f>
        <v>0</v>
      </c>
    </row>
    <row r="202" spans="3:5" hidden="1" x14ac:dyDescent="0.25">
      <c r="C202" t="str">
        <f>Materiaalihinnoittelut!B163</f>
        <v>WP 5l</v>
      </c>
      <c r="E202" s="4">
        <f>Materiaalihinnoittelut!E163</f>
        <v>0</v>
      </c>
    </row>
    <row r="203" spans="3:5" hidden="1" x14ac:dyDescent="0.25">
      <c r="C203" t="str">
        <f>Materiaalihinnoittelut!B164</f>
        <v>Vetonit läpivienti 32-55</v>
      </c>
      <c r="E203" s="4">
        <f>Materiaalihinnoittelut!E164</f>
        <v>0</v>
      </c>
    </row>
    <row r="204" spans="3:5" hidden="1" x14ac:dyDescent="0.25">
      <c r="C204" t="str">
        <f>Materiaalihinnoittelut!B165</f>
        <v>Vetonit läpivienti 75-110</v>
      </c>
      <c r="E204" s="4">
        <f>Materiaalihinnoittelut!E165</f>
        <v>0</v>
      </c>
    </row>
    <row r="205" spans="3:5" hidden="1" x14ac:dyDescent="0.25">
      <c r="C205" t="str">
        <f>Materiaalihinnoittelut!B166</f>
        <v>Kaivolaippa</v>
      </c>
      <c r="E205" s="4">
        <f>Materiaalihinnoittelut!E166</f>
        <v>0</v>
      </c>
    </row>
    <row r="206" spans="3:5" hidden="1" x14ac:dyDescent="0.25">
      <c r="C206" t="str">
        <f>Materiaalihinnoittelut!B167</f>
        <v>Ardex saneerauslaasti X77 20 kg</v>
      </c>
      <c r="E206" s="4">
        <f>Materiaalihinnoittelut!E167</f>
        <v>0</v>
      </c>
    </row>
    <row r="207" spans="3:5" hidden="1" x14ac:dyDescent="0.25">
      <c r="C207" t="str">
        <f>Materiaalihinnoittelut!B168</f>
        <v>Ardex saneerauslaasti S48, valkoinen 12,5 kg</v>
      </c>
      <c r="E207" s="4">
        <f>Materiaalihinnoittelut!E168</f>
        <v>0</v>
      </c>
    </row>
    <row r="208" spans="3:5" hidden="1" x14ac:dyDescent="0.25">
      <c r="C208" t="str">
        <f>Materiaalihinnoittelut!B169</f>
        <v>Ardex primer 5l</v>
      </c>
      <c r="E208" s="4">
        <f>Materiaalihinnoittelut!E169</f>
        <v>0</v>
      </c>
    </row>
    <row r="209" spans="3:5" hidden="1" x14ac:dyDescent="0.25">
      <c r="C209" t="str">
        <f>Materiaalihinnoittelut!B170</f>
        <v>Ardex 8 + 9</v>
      </c>
      <c r="E209" s="4">
        <f>Materiaalihinnoittelut!E170</f>
        <v>0</v>
      </c>
    </row>
    <row r="210" spans="3:5" hidden="1" x14ac:dyDescent="0.25">
      <c r="C210" t="str">
        <f>Materiaalihinnoittelut!B171</f>
        <v>Ardex vahvikenauha 50m</v>
      </c>
      <c r="E210" s="4">
        <f>Materiaalihinnoittelut!E171</f>
        <v>0</v>
      </c>
    </row>
    <row r="211" spans="3:5" hidden="1" x14ac:dyDescent="0.25">
      <c r="C211" t="str">
        <f>Materiaalihinnoittelut!B172</f>
        <v>Ardex kaivokappale</v>
      </c>
      <c r="E211" s="4">
        <f>Materiaalihinnoittelut!E172</f>
        <v>0</v>
      </c>
    </row>
    <row r="212" spans="3:5" hidden="1" x14ac:dyDescent="0.25">
      <c r="C212" t="str">
        <f>Materiaalihinnoittelut!B173</f>
        <v>Ardex LPV 80-110</v>
      </c>
      <c r="E212" s="4">
        <f>Materiaalihinnoittelut!E173</f>
        <v>0</v>
      </c>
    </row>
    <row r="213" spans="3:5" hidden="1" x14ac:dyDescent="0.25">
      <c r="C213" t="str">
        <f>Materiaalihinnoittelut!B174</f>
        <v>Ardex LPV 50-80</v>
      </c>
      <c r="E213" s="4">
        <f>Materiaalihinnoittelut!E174</f>
        <v>0</v>
      </c>
    </row>
    <row r="214" spans="3:5" hidden="1" x14ac:dyDescent="0.25">
      <c r="C214" t="str">
        <f>Materiaalihinnoittelut!B175</f>
        <v>Ardex LPV 12-22</v>
      </c>
      <c r="E214" s="4">
        <f>Materiaalihinnoittelut!E175</f>
        <v>0</v>
      </c>
    </row>
    <row r="215" spans="3:5" hidden="1" x14ac:dyDescent="0.25">
      <c r="C215" t="str">
        <f>Materiaalihinnoittelut!B176</f>
        <v>Vetonit MS 3l</v>
      </c>
      <c r="E215" s="4">
        <f>Materiaalihinnoittelut!E176</f>
        <v>0</v>
      </c>
    </row>
    <row r="216" spans="3:5" hidden="1" x14ac:dyDescent="0.25">
      <c r="C216" t="str">
        <f>Materiaalihinnoittelut!B177</f>
        <v>Vetonit kuitukangas, 40m</v>
      </c>
      <c r="E216" s="4">
        <f>Materiaalihinnoittelut!E177</f>
        <v>0</v>
      </c>
    </row>
    <row r="217" spans="3:5" hidden="1" x14ac:dyDescent="0.25">
      <c r="C217" t="str">
        <f>Materiaalihinnoittelut!B178</f>
        <v>Weber 4400 lattiatasoite</v>
      </c>
      <c r="E217" s="4">
        <f>Materiaalihinnoittelut!E178</f>
        <v>0</v>
      </c>
    </row>
    <row r="218" spans="3:5" hidden="1" x14ac:dyDescent="0.25">
      <c r="C218" t="str">
        <f>Materiaalihinnoittelut!B179</f>
        <v>S100 kuivabetoni</v>
      </c>
      <c r="E218" s="4">
        <f>Materiaalihinnoittelut!E179</f>
        <v>0</v>
      </c>
    </row>
    <row r="219" spans="3:5" hidden="1" x14ac:dyDescent="0.25">
      <c r="C219" t="str">
        <f>Materiaalihinnoittelut!B180</f>
        <v>Kevyt sora LECA</v>
      </c>
      <c r="E219" s="4">
        <f>Materiaalihinnoittelut!E180</f>
        <v>0</v>
      </c>
    </row>
    <row r="220" spans="3:5" hidden="1" x14ac:dyDescent="0.25">
      <c r="C220" t="str">
        <f>Materiaalihinnoittelut!B181</f>
        <v>Rappausohjuri 6mm</v>
      </c>
      <c r="E220" s="4">
        <f>Materiaalihinnoittelut!E181</f>
        <v>0</v>
      </c>
    </row>
    <row r="221" spans="3:5" hidden="1" x14ac:dyDescent="0.25">
      <c r="C221" t="str">
        <f>Materiaalihinnoittelut!B182</f>
        <v>Casco XTremFix</v>
      </c>
      <c r="E221" s="4">
        <f>Materiaalihinnoittelut!E182</f>
        <v>0</v>
      </c>
    </row>
    <row r="222" spans="3:5" hidden="1" x14ac:dyDescent="0.25">
      <c r="C222" t="str">
        <f>Materiaalihinnoittelut!B183</f>
        <v>Vetonit 410</v>
      </c>
      <c r="E222" s="4">
        <f>Materiaalihinnoittelut!E183</f>
        <v>0</v>
      </c>
    </row>
    <row r="223" spans="3:5" hidden="1" x14ac:dyDescent="0.25">
      <c r="C223" t="str">
        <f>Materiaalihinnoittelut!B184</f>
        <v>Antiikkilaasti fescon</v>
      </c>
      <c r="E223" s="4">
        <f>Materiaalihinnoittelut!E184</f>
        <v>0</v>
      </c>
    </row>
    <row r="224" spans="3:5" hidden="1" x14ac:dyDescent="0.25">
      <c r="C224" t="str">
        <f>Materiaalihinnoittelut!B185</f>
        <v>Vetonit REP 45</v>
      </c>
      <c r="E224" s="4">
        <f>Materiaalihinnoittelut!E185</f>
        <v>0</v>
      </c>
    </row>
    <row r="225" spans="3:5" hidden="1" x14ac:dyDescent="0.25">
      <c r="C225" t="str">
        <f>Materiaalihinnoittelut!B186</f>
        <v>Vetonit REP 25+</v>
      </c>
      <c r="E225" s="4">
        <f>Materiaalihinnoittelut!E186</f>
        <v>0</v>
      </c>
    </row>
    <row r="226" spans="3:5" hidden="1" x14ac:dyDescent="0.25">
      <c r="C226">
        <f>Materiaalihinnoittelut!B187</f>
        <v>0</v>
      </c>
      <c r="E226" s="4">
        <f>Materiaalihinnoittelut!E187</f>
        <v>0</v>
      </c>
    </row>
    <row r="227" spans="3:5" hidden="1" x14ac:dyDescent="0.25">
      <c r="C227" t="str">
        <f>Materiaalihinnoittelut!B188</f>
        <v>Easytiler koukut</v>
      </c>
      <c r="E227" s="4">
        <f>Materiaalihinnoittelut!E188</f>
        <v>0</v>
      </c>
    </row>
    <row r="228" spans="3:5" hidden="1" x14ac:dyDescent="0.25">
      <c r="C228" t="str">
        <f>Materiaalihinnoittelut!B189</f>
        <v>Easytiler kiilat</v>
      </c>
      <c r="E228" s="4">
        <f>Materiaalihinnoittelut!E189</f>
        <v>0</v>
      </c>
    </row>
    <row r="229" spans="3:5" hidden="1" x14ac:dyDescent="0.25">
      <c r="C229">
        <f>Materiaalihinnoittelut!B190</f>
        <v>0</v>
      </c>
      <c r="E229" s="4">
        <f>Materiaalihinnoittelut!E190</f>
        <v>0</v>
      </c>
    </row>
    <row r="230" spans="3:5" hidden="1" x14ac:dyDescent="0.25">
      <c r="C230" t="str">
        <f>Materiaalihinnoittelut!B191</f>
        <v>Höyrynsulkumuovi</v>
      </c>
      <c r="E230" s="4">
        <f>Materiaalihinnoittelut!E191</f>
        <v>0</v>
      </c>
    </row>
    <row r="231" spans="3:5" hidden="1" x14ac:dyDescent="0.25">
      <c r="C231" t="str">
        <f>Materiaalihinnoittelut!B192</f>
        <v>Ilmansulkupaperi ekovilla, 60m2</v>
      </c>
      <c r="E231" s="4">
        <f>Materiaalihinnoittelut!E192</f>
        <v>0</v>
      </c>
    </row>
    <row r="232" spans="3:5" hidden="1" x14ac:dyDescent="0.25">
      <c r="C232" t="str">
        <f>Materiaalihinnoittelut!B193</f>
        <v>Höyrynsulkuteippi sitko</v>
      </c>
      <c r="E232" s="4">
        <f>Materiaalihinnoittelut!E193</f>
        <v>0</v>
      </c>
    </row>
    <row r="233" spans="3:5" hidden="1" x14ac:dyDescent="0.25">
      <c r="C233">
        <f>Materiaalihinnoittelut!B194</f>
        <v>0</v>
      </c>
      <c r="E233" s="4">
        <f>Materiaalihinnoittelut!E194</f>
        <v>0</v>
      </c>
    </row>
    <row r="234" spans="3:5" hidden="1" x14ac:dyDescent="0.25">
      <c r="C234" t="str">
        <f>Materiaalihinnoittelut!B195</f>
        <v>Kattohuopa icopal</v>
      </c>
      <c r="E234" s="4">
        <f>Materiaalihinnoittelut!E195</f>
        <v>0</v>
      </c>
    </row>
    <row r="235" spans="3:5" hidden="1" x14ac:dyDescent="0.25">
      <c r="C235" t="str">
        <f>Materiaalihinnoittelut!B196</f>
        <v>Tiivistyslaippa 110-120</v>
      </c>
      <c r="E235" s="4">
        <f>Materiaalihinnoittelut!E196</f>
        <v>0</v>
      </c>
    </row>
    <row r="236" spans="3:5" hidden="1" x14ac:dyDescent="0.25">
      <c r="C236">
        <f>Materiaalihinnoittelut!B197</f>
        <v>0</v>
      </c>
      <c r="E236" s="4">
        <f>Materiaalihinnoittelut!E197</f>
        <v>0</v>
      </c>
    </row>
    <row r="237" spans="3:5" hidden="1" x14ac:dyDescent="0.25">
      <c r="C237" t="str">
        <f>Materiaalihinnoittelut!B198</f>
        <v>Sauna-Satu, 30mm, 1200x2400</v>
      </c>
      <c r="E237" s="4">
        <f>Materiaalihinnoittelut!E198</f>
        <v>0</v>
      </c>
    </row>
    <row r="238" spans="3:5" hidden="1" x14ac:dyDescent="0.25">
      <c r="C238" t="str">
        <f>Materiaalihinnoittelut!B199</f>
        <v>Alumiinipaperi 30m2</v>
      </c>
      <c r="E238" s="4">
        <f>Materiaalihinnoittelut!E199</f>
        <v>0</v>
      </c>
    </row>
    <row r="239" spans="3:5" hidden="1" x14ac:dyDescent="0.25">
      <c r="C239" t="str">
        <f>Materiaalihinnoittelut!B200</f>
        <v>Alumiiniteippi 50m</v>
      </c>
      <c r="E239" s="4">
        <f>Materiaalihinnoittelut!E200</f>
        <v>0</v>
      </c>
    </row>
    <row r="240" spans="3:5" hidden="1" x14ac:dyDescent="0.25">
      <c r="C240">
        <f>Materiaalihinnoittelut!B201</f>
        <v>0</v>
      </c>
      <c r="E240" s="4">
        <f>Materiaalihinnoittelut!E201</f>
        <v>0</v>
      </c>
    </row>
    <row r="241" spans="3:5" hidden="1" x14ac:dyDescent="0.25">
      <c r="C241">
        <f>Materiaalihinnoittelut!B202</f>
        <v>0</v>
      </c>
      <c r="E241" s="4">
        <f>Materiaalihinnoittelut!E202</f>
        <v>0</v>
      </c>
    </row>
    <row r="242" spans="3:5" hidden="1" x14ac:dyDescent="0.25">
      <c r="C242" t="str">
        <f>Materiaalihinnoittelut!B203</f>
        <v>Finnfoam 50mm, 60x250</v>
      </c>
      <c r="E242" s="4">
        <f>Materiaalihinnoittelut!E203</f>
        <v>0</v>
      </c>
    </row>
    <row r="243" spans="3:5" hidden="1" x14ac:dyDescent="0.25">
      <c r="C243" t="str">
        <f>Materiaalihinnoittelut!B204</f>
        <v>Finnfoam 100mm, 60x250</v>
      </c>
      <c r="E243" s="4">
        <f>Materiaalihinnoittelut!E204</f>
        <v>0</v>
      </c>
    </row>
    <row r="244" spans="3:5" hidden="1" x14ac:dyDescent="0.25">
      <c r="C244" t="str">
        <f>Materiaalihinnoittelut!B205</f>
        <v>Finnfoam 50mm, 60x250</v>
      </c>
      <c r="E244" s="4">
        <f>Materiaalihinnoittelut!E205</f>
        <v>0</v>
      </c>
    </row>
    <row r="245" spans="3:5" hidden="1" x14ac:dyDescent="0.25">
      <c r="C245" t="str">
        <f>Materiaalihinnoittelut!B206</f>
        <v>Finnfoam 100mm, 60x250</v>
      </c>
      <c r="E245" s="4">
        <f>Materiaalihinnoittelut!E206</f>
        <v>0</v>
      </c>
    </row>
    <row r="246" spans="3:5" hidden="1" x14ac:dyDescent="0.25">
      <c r="C246">
        <f>Materiaalihinnoittelut!B207</f>
        <v>0</v>
      </c>
      <c r="E246" s="4">
        <f>Materiaalihinnoittelut!E207</f>
        <v>0</v>
      </c>
    </row>
    <row r="247" spans="3:5" hidden="1" x14ac:dyDescent="0.25">
      <c r="C247" t="str">
        <f>Materiaalihinnoittelut!B208</f>
        <v>Vaahtolasimurske 1m3</v>
      </c>
      <c r="E247" s="4">
        <f>Materiaalihinnoittelut!E208</f>
        <v>0</v>
      </c>
    </row>
    <row r="248" spans="3:5" hidden="1" x14ac:dyDescent="0.25">
      <c r="C248" t="str">
        <f>Materiaalihinnoittelut!B209</f>
        <v>Suodatinkangas 2x10m, 20m2</v>
      </c>
      <c r="E248" s="4">
        <f>Materiaalihinnoittelut!E209</f>
        <v>0</v>
      </c>
    </row>
    <row r="249" spans="3:5" hidden="1" x14ac:dyDescent="0.25">
      <c r="C249" t="str">
        <f>Materiaalihinnoittelut!B210</f>
        <v>Valukangas 1,5mx100m</v>
      </c>
      <c r="E249" s="4">
        <f>Materiaalihinnoittelut!E210</f>
        <v>0</v>
      </c>
    </row>
    <row r="250" spans="3:5" hidden="1" x14ac:dyDescent="0.25">
      <c r="C250">
        <f>Materiaalihinnoittelut!B211</f>
        <v>0</v>
      </c>
      <c r="E250" s="4">
        <f>Materiaalihinnoittelut!E211</f>
        <v>0</v>
      </c>
    </row>
    <row r="251" spans="3:5" hidden="1" x14ac:dyDescent="0.25">
      <c r="C251" t="str">
        <f>Materiaalihinnoittelut!B212</f>
        <v>Leca-harkko H-75</v>
      </c>
      <c r="E251" s="4">
        <f>Materiaalihinnoittelut!E212</f>
        <v>0</v>
      </c>
    </row>
    <row r="252" spans="3:5" hidden="1" x14ac:dyDescent="0.25">
      <c r="C252" t="str">
        <f>Materiaalihinnoittelut!B213</f>
        <v>Leca-harkko UH-125</v>
      </c>
      <c r="E252" s="4">
        <f>Materiaalihinnoittelut!E213</f>
        <v>0</v>
      </c>
    </row>
    <row r="253" spans="3:5" hidden="1" x14ac:dyDescent="0.25">
      <c r="C253">
        <f>Materiaalihinnoittelut!B214</f>
        <v>0</v>
      </c>
      <c r="E253" s="4">
        <f>Materiaalihinnoittelut!E214</f>
        <v>0</v>
      </c>
    </row>
    <row r="254" spans="3:5" hidden="1" x14ac:dyDescent="0.25">
      <c r="C254" t="str">
        <f>Materiaalihinnoittelut!B215</f>
        <v>IPE 240</v>
      </c>
      <c r="E254" s="4">
        <f>Materiaalihinnoittelut!E215</f>
        <v>0</v>
      </c>
    </row>
    <row r="255" spans="3:5" hidden="1" x14ac:dyDescent="0.25">
      <c r="C255" t="str">
        <f>Materiaalihinnoittelut!B216</f>
        <v>HEA 100</v>
      </c>
      <c r="E255" s="4">
        <f>Materiaalihinnoittelut!E216</f>
        <v>0</v>
      </c>
    </row>
    <row r="256" spans="3:5" hidden="1" x14ac:dyDescent="0.25">
      <c r="C256" t="str">
        <f>Materiaalihinnoittelut!B217</f>
        <v>HEA 100, 2x4m katkaisulisineen</v>
      </c>
      <c r="E256" s="4">
        <f>Materiaalihinnoittelut!E217</f>
        <v>0</v>
      </c>
    </row>
    <row r="257" spans="3:5" hidden="1" x14ac:dyDescent="0.25">
      <c r="C257" t="str">
        <f>Materiaalihinnoittelut!B218</f>
        <v>UNP 100, 6m</v>
      </c>
      <c r="E257" s="4">
        <f>Materiaalihinnoittelut!E218</f>
        <v>0</v>
      </c>
    </row>
    <row r="258" spans="3:5" hidden="1" x14ac:dyDescent="0.25">
      <c r="C258" t="str">
        <f>Materiaalihinnoittelut!B219</f>
        <v>RHS 50x50x5mm</v>
      </c>
      <c r="E258" s="4">
        <f>Materiaalihinnoittelut!E219</f>
        <v>0</v>
      </c>
    </row>
    <row r="259" spans="3:5" hidden="1" x14ac:dyDescent="0.25">
      <c r="C259" t="str">
        <f>Materiaalihinnoittelut!B220</f>
        <v>BE-group rahti</v>
      </c>
      <c r="E259" s="4">
        <f>Materiaalihinnoittelut!E220</f>
        <v>0</v>
      </c>
    </row>
    <row r="260" spans="3:5" hidden="1" x14ac:dyDescent="0.25">
      <c r="C260" t="str">
        <f>Materiaalihinnoittelut!B221</f>
        <v>UPE140</v>
      </c>
      <c r="E260" s="4">
        <f>Materiaalihinnoittelut!E221</f>
        <v>0</v>
      </c>
    </row>
    <row r="261" spans="3:5" hidden="1" x14ac:dyDescent="0.25">
      <c r="C261" t="str">
        <f>Materiaalihinnoittelut!B222</f>
        <v>Rahti</v>
      </c>
      <c r="E261" s="4">
        <f>Materiaalihinnoittelut!E222</f>
        <v>0</v>
      </c>
    </row>
    <row r="262" spans="3:5" hidden="1" x14ac:dyDescent="0.25">
      <c r="C262">
        <f>Materiaalihinnoittelut!B223</f>
        <v>0</v>
      </c>
      <c r="E262" s="4">
        <f>Materiaalihinnoittelut!E223</f>
        <v>0</v>
      </c>
    </row>
    <row r="263" spans="3:5" hidden="1" x14ac:dyDescent="0.25">
      <c r="C263" t="str">
        <f>Materiaalihinnoittelut!B224</f>
        <v>Teräspoimulevy, T45-30L-905, t=0,7</v>
      </c>
      <c r="E263" s="4">
        <f>Materiaalihinnoittelut!E224</f>
        <v>0</v>
      </c>
    </row>
    <row r="264" spans="3:5" hidden="1" x14ac:dyDescent="0.25">
      <c r="C264" t="str">
        <f>Materiaalihinnoittelut!B225</f>
        <v>Kattopelti, aaltoprofiili</v>
      </c>
      <c r="E264" s="4">
        <f>Materiaalihinnoittelut!E225</f>
        <v>0</v>
      </c>
    </row>
    <row r="265" spans="3:5" hidden="1" x14ac:dyDescent="0.25">
      <c r="C265">
        <f>Materiaalihinnoittelut!B226</f>
        <v>0</v>
      </c>
      <c r="E265" s="4">
        <f>Materiaalihinnoittelut!E226</f>
        <v>0</v>
      </c>
    </row>
    <row r="266" spans="3:5" hidden="1" x14ac:dyDescent="0.25">
      <c r="C266">
        <f>Materiaalihinnoittelut!B227</f>
        <v>0</v>
      </c>
      <c r="E266" s="4">
        <f>Materiaalihinnoittelut!E227</f>
        <v>0</v>
      </c>
    </row>
    <row r="267" spans="3:5" hidden="1" x14ac:dyDescent="0.25">
      <c r="C267" t="str">
        <f>Materiaalihinnoittelut!B228</f>
        <v>Harjateräs 12mm</v>
      </c>
      <c r="E267" s="4">
        <f>Materiaalihinnoittelut!E228</f>
        <v>0</v>
      </c>
    </row>
    <row r="268" spans="3:5" hidden="1" x14ac:dyDescent="0.25">
      <c r="C268">
        <f>Materiaalihinnoittelut!B229</f>
        <v>0</v>
      </c>
      <c r="E268" s="4">
        <f>Materiaalihinnoittelut!E229</f>
        <v>0</v>
      </c>
    </row>
    <row r="269" spans="3:5" hidden="1" x14ac:dyDescent="0.25">
      <c r="C269" t="str">
        <f>Materiaalihinnoittelut!B230</f>
        <v>Kierretanko M24</v>
      </c>
      <c r="E269" s="4">
        <f>Materiaalihinnoittelut!E230</f>
        <v>0</v>
      </c>
    </row>
    <row r="270" spans="3:5" hidden="1" x14ac:dyDescent="0.25">
      <c r="C270" t="str">
        <f>Materiaalihinnoittelut!B231</f>
        <v>M24 mutteri</v>
      </c>
      <c r="E270" s="4">
        <f>Materiaalihinnoittelut!E231</f>
        <v>0</v>
      </c>
    </row>
    <row r="271" spans="3:5" hidden="1" x14ac:dyDescent="0.25">
      <c r="C271" t="str">
        <f>Materiaalihinnoittelut!B232</f>
        <v>26mm poranterä</v>
      </c>
      <c r="E271" s="4">
        <f>Materiaalihinnoittelut!E232</f>
        <v>0</v>
      </c>
    </row>
    <row r="272" spans="3:5" hidden="1" x14ac:dyDescent="0.25">
      <c r="C272">
        <f>Materiaalihinnoittelut!B233</f>
        <v>0</v>
      </c>
      <c r="E272" s="4">
        <f>Materiaalihinnoittelut!E233</f>
        <v>0</v>
      </c>
    </row>
    <row r="273" spans="3:5" hidden="1" x14ac:dyDescent="0.25">
      <c r="C273">
        <f>Materiaalihinnoittelut!B234</f>
        <v>0</v>
      </c>
      <c r="E273" s="4">
        <f>Materiaalihinnoittelut!E234</f>
        <v>0</v>
      </c>
    </row>
    <row r="274" spans="3:5" hidden="1" x14ac:dyDescent="0.25">
      <c r="C274">
        <f>Materiaalihinnoittelut!B235</f>
        <v>0</v>
      </c>
      <c r="E274" s="4">
        <f>Materiaalihinnoittelut!E235</f>
        <v>0</v>
      </c>
    </row>
    <row r="275" spans="3:5" hidden="1" x14ac:dyDescent="0.25">
      <c r="C275" t="str">
        <f>Materiaalihinnoittelut!B236</f>
        <v>EPS routa, 50mm 100x120</v>
      </c>
      <c r="E275" s="4">
        <f>Materiaalihinnoittelut!E236</f>
        <v>0</v>
      </c>
    </row>
    <row r="276" spans="3:5" hidden="1" x14ac:dyDescent="0.25">
      <c r="C276">
        <f>Materiaalihinnoittelut!B237</f>
        <v>0</v>
      </c>
      <c r="E276" s="4">
        <f>Materiaalihinnoittelut!E237</f>
        <v>0</v>
      </c>
    </row>
    <row r="277" spans="3:5" hidden="1" x14ac:dyDescent="0.25">
      <c r="C277" t="str">
        <f>Materiaalihinnoittelut!B238</f>
        <v>Asbestinäyte</v>
      </c>
      <c r="E277" s="4">
        <f>Materiaalihinnoittelut!E238</f>
        <v>0</v>
      </c>
    </row>
    <row r="278" spans="3:5" hidden="1" x14ac:dyDescent="0.25">
      <c r="C278">
        <f>Materiaalihinnoittelut!B239</f>
        <v>0</v>
      </c>
      <c r="E278" s="4">
        <f>Materiaalihinnoittelut!E239</f>
        <v>0</v>
      </c>
    </row>
    <row r="279" spans="3:5" hidden="1" x14ac:dyDescent="0.25">
      <c r="C279" t="str">
        <f>Materiaalihinnoittelut!B240</f>
        <v>Timanttilaikka</v>
      </c>
      <c r="E279" s="4">
        <f>Materiaalihinnoittelut!E240</f>
        <v>0</v>
      </c>
    </row>
    <row r="280" spans="3:5" hidden="1" x14ac:dyDescent="0.25">
      <c r="C280" t="str">
        <f>Materiaalihinnoittelut!B241</f>
        <v>Kuppilaikka</v>
      </c>
      <c r="E280" s="4">
        <f>Materiaalihinnoittelut!E241</f>
        <v>0</v>
      </c>
    </row>
    <row r="281" spans="3:5" hidden="1" x14ac:dyDescent="0.25">
      <c r="C281" t="str">
        <f>Materiaalihinnoittelut!B242</f>
        <v>Katkaisulaikka 125x1, metalli</v>
      </c>
      <c r="E281" s="4">
        <f>Materiaalihinnoittelut!E242</f>
        <v>0</v>
      </c>
    </row>
    <row r="282" spans="3:5" hidden="1" x14ac:dyDescent="0.25">
      <c r="C282">
        <f>Materiaalihinnoittelut!B243</f>
        <v>0</v>
      </c>
      <c r="E282" s="4">
        <f>Materiaalihinnoittelut!E243</f>
        <v>0</v>
      </c>
    </row>
    <row r="283" spans="3:5" hidden="1" x14ac:dyDescent="0.25">
      <c r="C283" t="str">
        <f>Materiaalihinnoittelut!B244</f>
        <v>Attix pölypussi 5 kpl</v>
      </c>
      <c r="E283" s="4">
        <f>Materiaalihinnoittelut!E244</f>
        <v>0</v>
      </c>
    </row>
    <row r="284" spans="3:5" hidden="1" x14ac:dyDescent="0.25">
      <c r="C284" t="str">
        <f>Materiaalihinnoittelut!B245</f>
        <v>Jätesäkki ekstravahva</v>
      </c>
      <c r="E284" s="4">
        <f>Materiaalihinnoittelut!E245</f>
        <v>0</v>
      </c>
    </row>
    <row r="285" spans="3:5" hidden="1" x14ac:dyDescent="0.25">
      <c r="C285" t="str">
        <f>Materiaalihinnoittelut!B246</f>
        <v>DC suodatin</v>
      </c>
      <c r="E285" s="4">
        <f>Materiaalihinnoittelut!E246</f>
        <v>0</v>
      </c>
    </row>
    <row r="286" spans="3:5" hidden="1" x14ac:dyDescent="0.25">
      <c r="C286" t="str">
        <f>Materiaalihinnoittelut!B247</f>
        <v>Puujäte</v>
      </c>
      <c r="E286" s="4">
        <f>Materiaalihinnoittelut!E247</f>
        <v>0</v>
      </c>
    </row>
    <row r="287" spans="3:5" hidden="1" x14ac:dyDescent="0.25">
      <c r="C287" t="str">
        <f>Materiaalihinnoittelut!B248</f>
        <v>Sekajäte ja kipsi</v>
      </c>
      <c r="E287" s="4">
        <f>Materiaalihinnoittelut!E248</f>
        <v>0</v>
      </c>
    </row>
    <row r="288" spans="3:5" hidden="1" x14ac:dyDescent="0.25">
      <c r="C288" t="str">
        <f>Materiaalihinnoittelut!B249</f>
        <v>Betoni, kivi, palamaton kaatisjäte</v>
      </c>
      <c r="E288" s="4">
        <f>Materiaalihinnoittelut!E249</f>
        <v>0</v>
      </c>
    </row>
    <row r="289" spans="3:5" hidden="1" x14ac:dyDescent="0.25">
      <c r="C289">
        <f>Materiaalihinnoittelut!B250</f>
        <v>0</v>
      </c>
      <c r="E289" s="4">
        <f>Materiaalihinnoittelut!E250</f>
        <v>0</v>
      </c>
    </row>
    <row r="290" spans="3:5" hidden="1" x14ac:dyDescent="0.25">
      <c r="C290" t="str">
        <f>Materiaalihinnoittelut!B251</f>
        <v>Eilole logistics</v>
      </c>
      <c r="E290" s="4">
        <f>Materiaalihinnoittelut!E251</f>
        <v>0</v>
      </c>
    </row>
    <row r="291" spans="3:5" hidden="1" x14ac:dyDescent="0.25">
      <c r="C291" t="str">
        <f>Materiaalihinnoittelut!B252</f>
        <v>17,7t hiab, 15m korkeus 15m leveys</v>
      </c>
      <c r="E291" s="4">
        <f>Materiaalihinnoittelut!E252</f>
        <v>0</v>
      </c>
    </row>
    <row r="292" spans="3:5" hidden="1" x14ac:dyDescent="0.25">
      <c r="C292">
        <f>Materiaalihinnoittelut!B253</f>
        <v>0</v>
      </c>
      <c r="E292" s="4">
        <f>Materiaalihinnoittelut!E253</f>
        <v>0</v>
      </c>
    </row>
    <row r="293" spans="3:5" hidden="1" x14ac:dyDescent="0.25">
      <c r="C293" t="str">
        <f>Materiaalihinnoittelut!B254</f>
        <v>Työmaan verkkoaita + jalusta</v>
      </c>
      <c r="E293" s="4">
        <f>Materiaalihinnoittelut!E254</f>
        <v>0</v>
      </c>
    </row>
    <row r="294" spans="3:5" hidden="1" x14ac:dyDescent="0.25">
      <c r="C294">
        <f>Materiaalihinnoittelut!B255</f>
        <v>0</v>
      </c>
      <c r="E294" s="4">
        <f>Materiaalihinnoittelut!E255</f>
        <v>0</v>
      </c>
    </row>
    <row r="295" spans="3:5" hidden="1" x14ac:dyDescent="0.25">
      <c r="C295">
        <f>Materiaalihinnoittelut!B256</f>
        <v>0</v>
      </c>
      <c r="E295" s="4">
        <f>Materiaalihinnoittelut!E256</f>
        <v>0</v>
      </c>
    </row>
    <row r="296" spans="3:5" hidden="1" x14ac:dyDescent="0.25">
      <c r="C296">
        <f>Materiaalihinnoittelut!B257</f>
        <v>0</v>
      </c>
      <c r="E296" s="4">
        <f>Materiaalihinnoittelut!E257</f>
        <v>0</v>
      </c>
    </row>
    <row r="297" spans="3:5" hidden="1" x14ac:dyDescent="0.25">
      <c r="C297">
        <f>Materiaalihinnoittelut!B258</f>
        <v>0</v>
      </c>
      <c r="E297" s="4">
        <f>Materiaalihinnoittelut!E258</f>
        <v>0</v>
      </c>
    </row>
    <row r="298" spans="3:5" hidden="1" x14ac:dyDescent="0.25">
      <c r="C298">
        <f>Materiaalihinnoittelut!B259</f>
        <v>0</v>
      </c>
      <c r="E298" s="4">
        <f>Materiaalihinnoittelut!E259</f>
        <v>0</v>
      </c>
    </row>
    <row r="299" spans="3:5" hidden="1" x14ac:dyDescent="0.25">
      <c r="C299" t="str">
        <f>Materiaalihinnoittelut!B260</f>
        <v>Vaihtolava.com</v>
      </c>
      <c r="E299" s="4">
        <f>Materiaalihinnoittelut!E260</f>
        <v>0</v>
      </c>
    </row>
    <row r="300" spans="3:5" hidden="1" x14ac:dyDescent="0.25">
      <c r="C300" t="str">
        <f>Materiaalihinnoittelut!B261</f>
        <v>Toimitus työmaalle</v>
      </c>
      <c r="E300" s="4">
        <f>Materiaalihinnoittelut!E261</f>
        <v>0</v>
      </c>
    </row>
    <row r="301" spans="3:5" hidden="1" x14ac:dyDescent="0.25">
      <c r="C301" t="str">
        <f>Materiaalihinnoittelut!B262</f>
        <v>Tyhjennys / poishaku</v>
      </c>
      <c r="E301" s="4">
        <f>Materiaalihinnoittelut!E262</f>
        <v>0</v>
      </c>
    </row>
    <row r="302" spans="3:5" hidden="1" x14ac:dyDescent="0.25">
      <c r="C302" t="str">
        <f>Materiaalihinnoittelut!B263</f>
        <v>Kansilavavuokra / kk</v>
      </c>
      <c r="E302" s="4">
        <f>Materiaalihinnoittelut!E263</f>
        <v>0</v>
      </c>
    </row>
    <row r="303" spans="3:5" hidden="1" x14ac:dyDescent="0.25">
      <c r="C303">
        <f>Materiaalihinnoittelut!B264</f>
        <v>0</v>
      </c>
      <c r="E303" s="4">
        <f>Materiaalihinnoittelut!E264</f>
        <v>0</v>
      </c>
    </row>
    <row r="304" spans="3:5" hidden="1" x14ac:dyDescent="0.25">
      <c r="C304" t="str">
        <f>Materiaalihinnoittelut!B265</f>
        <v>Rakennusjäte</v>
      </c>
      <c r="E304" s="4">
        <f>Materiaalihinnoittelut!E265</f>
        <v>0</v>
      </c>
    </row>
    <row r="305" spans="3:5" hidden="1" x14ac:dyDescent="0.25">
      <c r="C305" t="str">
        <f>Materiaalihinnoittelut!B266</f>
        <v>Rakennusjäte, LK2</v>
      </c>
      <c r="E305" s="4">
        <f>Materiaalihinnoittelut!E266</f>
        <v>0</v>
      </c>
    </row>
    <row r="306" spans="3:5" hidden="1" x14ac:dyDescent="0.25">
      <c r="C306" t="str">
        <f>Materiaalihinnoittelut!B267</f>
        <v xml:space="preserve">Puujäte, seka </v>
      </c>
      <c r="E306" s="4">
        <f>Materiaalihinnoittelut!E267</f>
        <v>0</v>
      </c>
    </row>
    <row r="307" spans="3:5" hidden="1" x14ac:dyDescent="0.25">
      <c r="C307">
        <f>Materiaalihinnoittelut!B268</f>
        <v>0</v>
      </c>
      <c r="E307" s="4">
        <f>Materiaalihinnoittelut!E268</f>
        <v>0</v>
      </c>
    </row>
    <row r="308" spans="3:5" hidden="1" x14ac:dyDescent="0.25">
      <c r="C308" t="str">
        <f>Materiaalihinnoittelut!B269</f>
        <v>Betoni</v>
      </c>
      <c r="E308" s="4">
        <f>Materiaalihinnoittelut!E269</f>
        <v>0</v>
      </c>
    </row>
    <row r="309" spans="3:5" hidden="1" x14ac:dyDescent="0.25">
      <c r="C309" t="str">
        <f>Materiaalihinnoittelut!B270</f>
        <v>Betoni + tiili</v>
      </c>
      <c r="E309" s="4">
        <f>Materiaalihinnoittelut!E270</f>
        <v>0</v>
      </c>
    </row>
    <row r="310" spans="3:5" hidden="1" x14ac:dyDescent="0.25">
      <c r="C310" t="str">
        <f>Materiaalihinnoittelut!B271</f>
        <v>Tiili</v>
      </c>
      <c r="E310" s="4">
        <f>Materiaalihinnoittelut!E271</f>
        <v>0</v>
      </c>
    </row>
    <row r="311" spans="3:5" hidden="1" x14ac:dyDescent="0.25">
      <c r="C311">
        <f>Materiaalihinnoittelut!B272</f>
        <v>0</v>
      </c>
      <c r="E311" s="4">
        <f>Materiaalihinnoittelut!E272</f>
        <v>0</v>
      </c>
    </row>
    <row r="312" spans="3:5" hidden="1" x14ac:dyDescent="0.25">
      <c r="C312" t="str">
        <f>Materiaalihinnoittelut!B273</f>
        <v>Punnitusmaksu / kerta</v>
      </c>
      <c r="E312" s="4">
        <f>Materiaalihinnoittelut!E273</f>
        <v>0</v>
      </c>
    </row>
    <row r="313" spans="3:5" hidden="1" x14ac:dyDescent="0.25">
      <c r="C313">
        <f>Materiaalihinnoittelut!B274</f>
        <v>0</v>
      </c>
      <c r="E313" s="4">
        <f>Materiaalihinnoittelut!E274</f>
        <v>0</v>
      </c>
    </row>
    <row r="314" spans="3:5" hidden="1" x14ac:dyDescent="0.25">
      <c r="C314">
        <f>Materiaalihinnoittelut!B275</f>
        <v>0</v>
      </c>
      <c r="E314" s="4">
        <f>Materiaalihinnoittelut!E275</f>
        <v>0</v>
      </c>
    </row>
    <row r="315" spans="3:5" hidden="1" x14ac:dyDescent="0.25">
      <c r="C315">
        <f>Materiaalihinnoittelut!B276</f>
        <v>0</v>
      </c>
      <c r="E315" s="4">
        <f>Materiaalihinnoittelut!E276</f>
        <v>0</v>
      </c>
    </row>
    <row r="316" spans="3:5" hidden="1" x14ac:dyDescent="0.25">
      <c r="C316" t="str">
        <f>Materiaalihinnoittelut!B277</f>
        <v>Vuokrat</v>
      </c>
      <c r="E316" s="4">
        <f>Materiaalihinnoittelut!E277</f>
        <v>0</v>
      </c>
    </row>
    <row r="317" spans="3:5" hidden="1" x14ac:dyDescent="0.25">
      <c r="C317" t="str">
        <f>Materiaalihinnoittelut!B278</f>
        <v>Rofrost jäädytyskone</v>
      </c>
      <c r="E317" s="4">
        <f>Materiaalihinnoittelut!E278</f>
        <v>0</v>
      </c>
    </row>
    <row r="318" spans="3:5" hidden="1" x14ac:dyDescent="0.25">
      <c r="C318" t="str">
        <f>Materiaalihinnoittelut!B279</f>
        <v>Taptin poistaja</v>
      </c>
      <c r="E318" s="4">
        <f>Materiaalihinnoittelut!E279</f>
        <v>0</v>
      </c>
    </row>
    <row r="319" spans="3:5" hidden="1" x14ac:dyDescent="0.25">
      <c r="C319" t="str">
        <f>Materiaalihinnoittelut!B280</f>
        <v xml:space="preserve">Alipaineistaja </v>
      </c>
      <c r="E319" s="4">
        <f>Materiaalihinnoittelut!E280</f>
        <v>0</v>
      </c>
    </row>
    <row r="320" spans="3:5" hidden="1" x14ac:dyDescent="0.25">
      <c r="C320">
        <f>Materiaalihinnoittelut!B281</f>
        <v>0</v>
      </c>
      <c r="E320" s="4">
        <f>Materiaalihinnoittelut!E281</f>
        <v>0</v>
      </c>
    </row>
    <row r="321" spans="3:5" hidden="1" x14ac:dyDescent="0.25">
      <c r="C321" t="str">
        <f>Materiaalihinnoittelut!B282</f>
        <v>Karkeasuodatin</v>
      </c>
      <c r="E321" s="4">
        <f>Materiaalihinnoittelut!E282</f>
        <v>0</v>
      </c>
    </row>
    <row r="322" spans="3:5" hidden="1" x14ac:dyDescent="0.25">
      <c r="C322" t="str">
        <f>Materiaalihinnoittelut!B283</f>
        <v>hepa-suodatin</v>
      </c>
      <c r="E322" s="4">
        <f>Materiaalihinnoittelut!E283</f>
        <v>0</v>
      </c>
    </row>
    <row r="323" spans="3:5" hidden="1" x14ac:dyDescent="0.25">
      <c r="C323">
        <f>Materiaalihinnoittelut!B284</f>
        <v>0</v>
      </c>
      <c r="E323" s="4">
        <f>Materiaalihinnoittelut!E284</f>
        <v>0</v>
      </c>
    </row>
    <row r="324" spans="3:5" hidden="1" x14ac:dyDescent="0.25">
      <c r="C324" t="str">
        <f>Materiaalihinnoittelut!B285</f>
        <v>Purkuränni ikkunakiinnike</v>
      </c>
      <c r="E324" s="4">
        <f>Materiaalihinnoittelut!E285</f>
        <v>0</v>
      </c>
    </row>
    <row r="325" spans="3:5" hidden="1" x14ac:dyDescent="0.25">
      <c r="C325" t="str">
        <f>Materiaalihinnoittelut!B286</f>
        <v>Yläsyöttö</v>
      </c>
      <c r="E325" s="4">
        <f>Materiaalihinnoittelut!E286</f>
        <v>0</v>
      </c>
    </row>
    <row r="326" spans="3:5" hidden="1" x14ac:dyDescent="0.25">
      <c r="C326" t="str">
        <f>Materiaalihinnoittelut!B287</f>
        <v>Perusosa</v>
      </c>
      <c r="E326" s="4">
        <f>Materiaalihinnoittelut!E287</f>
        <v>0</v>
      </c>
    </row>
    <row r="327" spans="3:5" hidden="1" x14ac:dyDescent="0.25">
      <c r="C327" t="str">
        <f>Materiaalihinnoittelut!B288</f>
        <v>Välisyöttö</v>
      </c>
      <c r="E327" s="4">
        <f>Materiaalihinnoittelut!E288</f>
        <v>0</v>
      </c>
    </row>
    <row r="328" spans="3:5" hidden="1" x14ac:dyDescent="0.25">
      <c r="C328" t="str">
        <f>Materiaalihinnoittelut!B289</f>
        <v>Asennusvinssi</v>
      </c>
      <c r="E328" s="4">
        <f>Materiaalihinnoittelut!E289</f>
        <v>0</v>
      </c>
    </row>
    <row r="329" spans="3:5" hidden="1" x14ac:dyDescent="0.25">
      <c r="C329" t="str">
        <f>Materiaalihinnoittelut!B290</f>
        <v>Kuljetus</v>
      </c>
      <c r="E329" s="4">
        <f>Materiaalihinnoittelut!E290</f>
        <v>0</v>
      </c>
    </row>
    <row r="330" spans="3:5" hidden="1" x14ac:dyDescent="0.25">
      <c r="C330" t="str">
        <f>Materiaalihinnoittelut!B291</f>
        <v>Roskakuiluyht. Päivät</v>
      </c>
      <c r="E330" s="4">
        <f>Materiaalihinnoittelut!E291</f>
        <v>0</v>
      </c>
    </row>
    <row r="331" spans="3:5" hidden="1" x14ac:dyDescent="0.25">
      <c r="C331">
        <f>Materiaalihinnoittelut!B292</f>
        <v>0</v>
      </c>
      <c r="E331" s="4">
        <f>Materiaalihinnoittelut!E292</f>
        <v>0</v>
      </c>
    </row>
    <row r="332" spans="3:5" hidden="1" x14ac:dyDescent="0.25">
      <c r="C332" t="str">
        <f>Materiaalihinnoittelut!B293</f>
        <v>Exetrem lattianhiomakone</v>
      </c>
      <c r="E332" s="4">
        <f>Materiaalihinnoittelut!E293</f>
        <v>0</v>
      </c>
    </row>
    <row r="333" spans="3:5" hidden="1" x14ac:dyDescent="0.25">
      <c r="C333" t="str">
        <f>Materiaalihinnoittelut!B294</f>
        <v>Hiomalatta</v>
      </c>
      <c r="E333" s="4">
        <f>Materiaalihinnoittelut!E294</f>
        <v>0</v>
      </c>
    </row>
    <row r="334" spans="3:5" hidden="1" x14ac:dyDescent="0.25">
      <c r="C334" t="str">
        <f>Materiaalihinnoittelut!B295</f>
        <v>Lisäpaino 6 kg</v>
      </c>
      <c r="E334" s="4">
        <f>Materiaalihinnoittelut!E295</f>
        <v>0</v>
      </c>
    </row>
    <row r="335" spans="3:5" hidden="1" x14ac:dyDescent="0.25">
      <c r="C335">
        <f>Materiaalihinnoittelut!B296</f>
        <v>0</v>
      </c>
      <c r="E335" s="4">
        <f>Materiaalihinnoittelut!E296</f>
        <v>0</v>
      </c>
    </row>
    <row r="336" spans="3:5" hidden="1" x14ac:dyDescent="0.25">
      <c r="C336" t="str">
        <f>Materiaalihinnoittelut!B297</f>
        <v>Lattiahiomakone</v>
      </c>
      <c r="E336" s="4">
        <f>Materiaalihinnoittelut!E297</f>
        <v>0</v>
      </c>
    </row>
    <row r="337" spans="3:5" hidden="1" x14ac:dyDescent="0.25">
      <c r="C337">
        <f>Materiaalihinnoittelut!B298</f>
        <v>0</v>
      </c>
      <c r="E337" s="4">
        <f>Materiaalihinnoittelut!E298</f>
        <v>0</v>
      </c>
    </row>
    <row r="338" spans="3:5" hidden="1" x14ac:dyDescent="0.25">
      <c r="C338" t="str">
        <f>Materiaalihinnoittelut!B299</f>
        <v>Columbus</v>
      </c>
      <c r="E338" s="4">
        <f>Materiaalihinnoittelut!E299</f>
        <v>0</v>
      </c>
    </row>
    <row r="339" spans="3:5" hidden="1" x14ac:dyDescent="0.25">
      <c r="C339" t="str">
        <f>Materiaalihinnoittelut!B300</f>
        <v>Wolframkarbidilaikka</v>
      </c>
      <c r="E339" s="4">
        <f>Materiaalihinnoittelut!E300</f>
        <v>0</v>
      </c>
    </row>
    <row r="340" spans="3:5" hidden="1" x14ac:dyDescent="0.25">
      <c r="C340" t="str">
        <f>Materiaalihinnoittelut!B301</f>
        <v>Hiomalaikka 16</v>
      </c>
      <c r="E340" s="4">
        <f>Materiaalihinnoittelut!E301</f>
        <v>0</v>
      </c>
    </row>
    <row r="341" spans="3:5" hidden="1" x14ac:dyDescent="0.25">
      <c r="C341">
        <f>Materiaalihinnoittelut!B302</f>
        <v>0</v>
      </c>
      <c r="E341" s="4">
        <f>Materiaalihinnoittelut!E302</f>
        <v>0</v>
      </c>
    </row>
    <row r="342" spans="3:5" hidden="1" x14ac:dyDescent="0.25">
      <c r="C342" t="str">
        <f>Materiaalihinnoittelut!B303</f>
        <v>Timanttilaikka polttomoottorilla</v>
      </c>
      <c r="E342" s="4">
        <f>Materiaalihinnoittelut!E303</f>
        <v>0</v>
      </c>
    </row>
    <row r="343" spans="3:5" hidden="1" x14ac:dyDescent="0.25">
      <c r="C343">
        <f>Materiaalihinnoittelut!B304</f>
        <v>0</v>
      </c>
      <c r="E343" s="4">
        <f>Materiaalihinnoittelut!E304</f>
        <v>0</v>
      </c>
    </row>
    <row r="344" spans="3:5" hidden="1" x14ac:dyDescent="0.25">
      <c r="C344" t="str">
        <f>Materiaalihinnoittelut!B305</f>
        <v>Painevesisäiliö</v>
      </c>
      <c r="E344" s="4">
        <f>Materiaalihinnoittelut!E305</f>
        <v>0</v>
      </c>
    </row>
    <row r="345" spans="3:5" hidden="1" x14ac:dyDescent="0.25">
      <c r="C345" t="str">
        <f>Materiaalihinnoittelut!B306</f>
        <v>Timantilaikka per alkava mm</v>
      </c>
      <c r="E345" s="4">
        <f>Materiaalihinnoittelut!E306</f>
        <v>0</v>
      </c>
    </row>
    <row r="346" spans="3:5" hidden="1" x14ac:dyDescent="0.25">
      <c r="C346">
        <f>Materiaalihinnoittelut!B307</f>
        <v>0</v>
      </c>
      <c r="E346" s="4">
        <f>Materiaalihinnoittelut!E307</f>
        <v>0</v>
      </c>
    </row>
    <row r="347" spans="3:5" hidden="1" x14ac:dyDescent="0.25">
      <c r="C347" t="str">
        <f>Materiaalihinnoittelut!B308</f>
        <v>Vuokrapotti</v>
      </c>
      <c r="E347" s="4">
        <f>Materiaalihinnoittelut!E308</f>
        <v>3</v>
      </c>
    </row>
    <row r="348" spans="3:5" hidden="1" x14ac:dyDescent="0.25">
      <c r="C348">
        <f>Materiaalihinnoittelut!B309</f>
        <v>0</v>
      </c>
      <c r="E348" s="4">
        <f>Materiaalihinnoittelut!E309</f>
        <v>0</v>
      </c>
    </row>
    <row r="349" spans="3:5" hidden="1" x14ac:dyDescent="0.25">
      <c r="C349">
        <f>Materiaalihinnoittelut!B310</f>
        <v>0</v>
      </c>
      <c r="E349" s="4">
        <f>Materiaalihinnoittelut!E310</f>
        <v>0</v>
      </c>
    </row>
    <row r="350" spans="3:5" hidden="1" x14ac:dyDescent="0.25">
      <c r="C350">
        <f>Materiaalihinnoittelut!B311</f>
        <v>0</v>
      </c>
      <c r="E350" s="4">
        <f>Materiaalihinnoittelut!E311</f>
        <v>0</v>
      </c>
    </row>
    <row r="351" spans="3:5" hidden="1" x14ac:dyDescent="0.25">
      <c r="C351">
        <f>Materiaalihinnoittelut!B312</f>
        <v>0</v>
      </c>
      <c r="E351" s="4">
        <f>Materiaalihinnoittelut!E312</f>
        <v>0</v>
      </c>
    </row>
    <row r="352" spans="3:5" hidden="1" x14ac:dyDescent="0.25">
      <c r="C352">
        <f>Materiaalihinnoittelut!B313</f>
        <v>0</v>
      </c>
      <c r="E352" s="4">
        <f>Materiaalihinnoittelut!E313</f>
        <v>0</v>
      </c>
    </row>
    <row r="353" spans="3:5" hidden="1" x14ac:dyDescent="0.25">
      <c r="C353">
        <f>Materiaalihinnoittelut!B314</f>
        <v>0</v>
      </c>
      <c r="E353" s="4">
        <f>Materiaalihinnoittelut!E314</f>
        <v>0</v>
      </c>
    </row>
    <row r="354" spans="3:5" hidden="1" x14ac:dyDescent="0.25">
      <c r="C354">
        <f>Materiaalihinnoittelut!B315</f>
        <v>0</v>
      </c>
      <c r="E354" s="4">
        <f>Materiaalihinnoittelut!E315</f>
        <v>0</v>
      </c>
    </row>
    <row r="355" spans="3:5" hidden="1" x14ac:dyDescent="0.25">
      <c r="C355">
        <f>Materiaalihinnoittelut!B316</f>
        <v>0</v>
      </c>
      <c r="E355" s="4">
        <f>Materiaalihinnoittelut!E316</f>
        <v>0</v>
      </c>
    </row>
    <row r="356" spans="3:5" hidden="1" x14ac:dyDescent="0.25">
      <c r="C356">
        <f>Materiaalihinnoittelut!B317</f>
        <v>0</v>
      </c>
      <c r="E356" s="4">
        <f>Materiaalihinnoittelut!E317</f>
        <v>0</v>
      </c>
    </row>
    <row r="357" spans="3:5" hidden="1" x14ac:dyDescent="0.25">
      <c r="C357">
        <f>Materiaalihinnoittelut!B318</f>
        <v>0</v>
      </c>
      <c r="E357" s="4">
        <f>Materiaalihinnoittelut!E318</f>
        <v>0</v>
      </c>
    </row>
    <row r="358" spans="3:5" x14ac:dyDescent="0.25">
      <c r="C358">
        <f>Materiaalihinnoittelut!B319</f>
        <v>0</v>
      </c>
      <c r="E358" s="4">
        <f>Materiaalihinnoittelut!E319</f>
        <v>0</v>
      </c>
    </row>
    <row r="359" spans="3:5" hidden="1" x14ac:dyDescent="0.25">
      <c r="C359">
        <f>Materiaalihinnoittelut!B320</f>
        <v>0</v>
      </c>
      <c r="E359" s="4">
        <f>Materiaalihinnoittelut!E320</f>
        <v>0</v>
      </c>
    </row>
    <row r="360" spans="3:5" hidden="1" x14ac:dyDescent="0.25">
      <c r="C360">
        <f>Materiaalihinnoittelut!B321</f>
        <v>0</v>
      </c>
      <c r="E360" s="4">
        <f>Materiaalihinnoittelut!E321</f>
        <v>0</v>
      </c>
    </row>
    <row r="361" spans="3:5" x14ac:dyDescent="0.25">
      <c r="C361" t="str">
        <f>Materiaalihinnoittelut!B322</f>
        <v>Työmaataulu ja muut työmaatarvikkeet</v>
      </c>
      <c r="E361" s="4">
        <f>Materiaalihinnoittelut!E322</f>
        <v>3</v>
      </c>
    </row>
    <row r="362" spans="3:5" hidden="1" x14ac:dyDescent="0.25">
      <c r="C362" t="str">
        <f>Materiaalihinnoittelut!B323</f>
        <v>Piirustustilaukset</v>
      </c>
      <c r="E362" s="4">
        <f>Materiaalihinnoittelut!E323</f>
        <v>1</v>
      </c>
    </row>
    <row r="363" spans="3:5" hidden="1" x14ac:dyDescent="0.25">
      <c r="C363" t="str">
        <f>Materiaalihinnoittelut!B324</f>
        <v>Tarvikelisä, vuokrat jne</v>
      </c>
      <c r="E363" s="4">
        <f>Materiaalihinnoittelut!E324</f>
        <v>0</v>
      </c>
    </row>
    <row r="364" spans="3:5" hidden="1" x14ac:dyDescent="0.25">
      <c r="C364" t="str">
        <f>Materiaalihinnoittelut!B325</f>
        <v>Kiinnikkeet</v>
      </c>
      <c r="E364" s="4">
        <f>Materiaalihinnoittelut!E325</f>
        <v>0</v>
      </c>
    </row>
    <row r="365" spans="3:5" hidden="1" x14ac:dyDescent="0.25">
      <c r="C365" t="str">
        <f>Materiaalihinnoittelut!B326</f>
        <v>Sähkötarvikkeet</v>
      </c>
      <c r="E365" s="4">
        <f>Materiaalihinnoittelut!E326</f>
        <v>0</v>
      </c>
    </row>
  </sheetData>
  <autoFilter ref="E1:E365" xr:uid="{322AA38D-0876-4412-ADD1-821A90CECD89}">
    <filterColumn colId="0">
      <customFilters>
        <customFilter operator="notEqual" val=" "/>
      </customFilters>
    </filterColumn>
  </autoFilter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2187-034A-4E8D-BB6C-D8BA7AD94ADE}">
  <dimension ref="A1:L31"/>
  <sheetViews>
    <sheetView workbookViewId="0">
      <selection activeCell="C13" sqref="C13"/>
    </sheetView>
  </sheetViews>
  <sheetFormatPr defaultRowHeight="15" x14ac:dyDescent="0.25"/>
  <cols>
    <col min="2" max="2" width="27.5703125" bestFit="1" customWidth="1"/>
    <col min="3" max="5" width="11.85546875" bestFit="1" customWidth="1"/>
    <col min="10" max="11" width="10.42578125" bestFit="1" customWidth="1"/>
    <col min="12" max="12" width="10.28515625" bestFit="1" customWidth="1"/>
  </cols>
  <sheetData>
    <row r="1" spans="1:12" x14ac:dyDescent="0.25">
      <c r="B1" s="1" t="s">
        <v>606</v>
      </c>
      <c r="C1" s="1" t="s">
        <v>607</v>
      </c>
    </row>
    <row r="2" spans="1:12" x14ac:dyDescent="0.25">
      <c r="B2" s="97" t="s">
        <v>608</v>
      </c>
      <c r="C2" s="97"/>
    </row>
    <row r="3" spans="1:12" x14ac:dyDescent="0.25">
      <c r="B3" s="69"/>
      <c r="C3" s="69"/>
    </row>
    <row r="4" spans="1:12" x14ac:dyDescent="0.25">
      <c r="C4" s="93" t="s">
        <v>627</v>
      </c>
      <c r="D4" s="93" t="s">
        <v>627</v>
      </c>
      <c r="E4" s="130" t="s">
        <v>627</v>
      </c>
      <c r="F4" s="94"/>
    </row>
    <row r="5" spans="1:12" x14ac:dyDescent="0.25">
      <c r="C5" s="13" t="s">
        <v>609</v>
      </c>
      <c r="D5" s="13" t="s">
        <v>609</v>
      </c>
      <c r="E5" s="13" t="s">
        <v>625</v>
      </c>
      <c r="F5" s="127" t="s">
        <v>610</v>
      </c>
      <c r="I5" s="60"/>
      <c r="J5" s="60"/>
      <c r="K5" s="60" t="s">
        <v>611</v>
      </c>
      <c r="L5" s="60" t="s">
        <v>169</v>
      </c>
    </row>
    <row r="6" spans="1:12" x14ac:dyDescent="0.25">
      <c r="A6" s="111"/>
      <c r="B6" s="112"/>
      <c r="C6" s="128" t="s">
        <v>612</v>
      </c>
      <c r="D6" s="128" t="s">
        <v>613</v>
      </c>
      <c r="E6" s="129" t="s">
        <v>614</v>
      </c>
      <c r="F6" s="129" t="s">
        <v>626</v>
      </c>
      <c r="I6" s="113" t="str">
        <f>C6</f>
        <v>Tarjottu</v>
      </c>
      <c r="J6" s="114">
        <f>C7+C11+C14</f>
        <v>0</v>
      </c>
      <c r="K6" s="76">
        <f>C30</f>
        <v>0</v>
      </c>
      <c r="L6" s="58"/>
    </row>
    <row r="7" spans="1:12" ht="15.75" x14ac:dyDescent="0.25">
      <c r="A7" s="115">
        <v>1</v>
      </c>
      <c r="B7" s="115" t="s">
        <v>235</v>
      </c>
      <c r="C7" s="116">
        <f>SUM(C8:C10)</f>
        <v>0</v>
      </c>
      <c r="D7" s="116">
        <f>SUM(D8:D10)</f>
        <v>0</v>
      </c>
      <c r="E7" s="116">
        <f>SUM(E8:E10)</f>
        <v>7388.9705882352937</v>
      </c>
      <c r="F7" s="116">
        <f>SUM(F8:F10)</f>
        <v>1</v>
      </c>
      <c r="I7" s="113" t="str">
        <f>D6</f>
        <v>Laskettu</v>
      </c>
      <c r="J7" s="114">
        <f>D7+D11+D14</f>
        <v>29181.81818181818</v>
      </c>
      <c r="K7" s="117">
        <f>J6-J7</f>
        <v>-29181.81818181818</v>
      </c>
      <c r="L7" s="118" t="e">
        <f>K7/J6</f>
        <v>#DIV/0!</v>
      </c>
    </row>
    <row r="8" spans="1:12" x14ac:dyDescent="0.25">
      <c r="A8" s="119"/>
      <c r="B8" s="120" t="s">
        <v>615</v>
      </c>
      <c r="C8" s="121">
        <v>0</v>
      </c>
      <c r="D8" s="121"/>
      <c r="E8" s="121">
        <f>Eritelysivu!C25</f>
        <v>1976.4705882352941</v>
      </c>
      <c r="F8" s="121">
        <v>1</v>
      </c>
      <c r="I8" s="113" t="str">
        <f>E6</f>
        <v>Arvio</v>
      </c>
      <c r="J8" s="114">
        <f>E7+E11+E14</f>
        <v>170648.52397500002</v>
      </c>
      <c r="K8" s="117">
        <f>J6-J8</f>
        <v>-170648.52397500002</v>
      </c>
      <c r="L8" s="118" t="e">
        <f>K8/J6</f>
        <v>#DIV/0!</v>
      </c>
    </row>
    <row r="9" spans="1:12" x14ac:dyDescent="0.25">
      <c r="A9" s="119"/>
      <c r="B9" s="120" t="s">
        <v>236</v>
      </c>
      <c r="C9" s="121">
        <v>0</v>
      </c>
      <c r="D9" s="121"/>
      <c r="E9" s="121">
        <f>Eritelysivu!B25</f>
        <v>5412.5</v>
      </c>
      <c r="F9" s="121"/>
      <c r="I9" s="113" t="str">
        <f>F6</f>
        <v>Toteuma</v>
      </c>
      <c r="J9" s="114">
        <f>F7+F11+F14</f>
        <v>3</v>
      </c>
      <c r="K9" s="117">
        <f>J6-J9</f>
        <v>-3</v>
      </c>
      <c r="L9" s="118" t="e">
        <f>K9/J6</f>
        <v>#DIV/0!</v>
      </c>
    </row>
    <row r="10" spans="1:12" x14ac:dyDescent="0.25">
      <c r="A10" s="119"/>
      <c r="B10" s="120" t="s">
        <v>235</v>
      </c>
      <c r="C10" s="121">
        <v>0</v>
      </c>
      <c r="D10" s="121"/>
      <c r="E10" s="121"/>
      <c r="F10" s="121"/>
    </row>
    <row r="11" spans="1:12" ht="15.75" x14ac:dyDescent="0.25">
      <c r="A11" s="115">
        <v>2</v>
      </c>
      <c r="B11" s="122" t="s">
        <v>616</v>
      </c>
      <c r="C11" s="116">
        <f t="shared" ref="C11:F11" si="0">C12+C13</f>
        <v>0</v>
      </c>
      <c r="D11" s="116">
        <f t="shared" si="0"/>
        <v>0</v>
      </c>
      <c r="E11" s="116">
        <f t="shared" si="0"/>
        <v>137579.55338676472</v>
      </c>
      <c r="F11" s="116">
        <f t="shared" si="0"/>
        <v>1</v>
      </c>
    </row>
    <row r="12" spans="1:12" x14ac:dyDescent="0.25">
      <c r="A12" s="119"/>
      <c r="B12" s="120" t="s">
        <v>615</v>
      </c>
      <c r="C12" s="121">
        <v>0</v>
      </c>
      <c r="D12" s="121">
        <v>0</v>
      </c>
      <c r="E12" s="121">
        <f>Koontisivu!C18-E8</f>
        <v>58552.124705882357</v>
      </c>
      <c r="F12" s="121">
        <v>1</v>
      </c>
    </row>
    <row r="13" spans="1:12" x14ac:dyDescent="0.25">
      <c r="A13" s="119"/>
      <c r="B13" s="120" t="s">
        <v>236</v>
      </c>
      <c r="C13" s="121">
        <v>0</v>
      </c>
      <c r="D13" s="121">
        <v>0</v>
      </c>
      <c r="E13" s="121">
        <f>Koontisivu!C19-E9</f>
        <v>79027.428680882353</v>
      </c>
      <c r="F13" s="121"/>
    </row>
    <row r="14" spans="1:12" ht="15.75" x14ac:dyDescent="0.25">
      <c r="A14" s="115">
        <v>3</v>
      </c>
      <c r="B14" s="122" t="s">
        <v>491</v>
      </c>
      <c r="C14" s="123">
        <f>SUM(C15:C29)</f>
        <v>0</v>
      </c>
      <c r="D14" s="123">
        <f>SUM(D15:D29)</f>
        <v>29181.81818181818</v>
      </c>
      <c r="E14" s="123">
        <f t="shared" ref="E14:F14" si="1">SUM(E15:E29)</f>
        <v>25680</v>
      </c>
      <c r="F14" s="123">
        <f t="shared" si="1"/>
        <v>1</v>
      </c>
      <c r="G14" s="124"/>
      <c r="H14" s="124"/>
      <c r="I14" s="124"/>
      <c r="J14" s="124"/>
      <c r="K14" s="124"/>
      <c r="L14" s="124"/>
    </row>
    <row r="15" spans="1:12" x14ac:dyDescent="0.25">
      <c r="A15" s="120">
        <v>1</v>
      </c>
      <c r="B15" s="125" t="s">
        <v>617</v>
      </c>
      <c r="C15" s="121">
        <v>0</v>
      </c>
      <c r="D15" s="121">
        <f>Erillishankinnat!C7</f>
        <v>11454.545454545454</v>
      </c>
      <c r="E15" s="121">
        <f>Erillishankinnat!C4</f>
        <v>10080</v>
      </c>
      <c r="F15" s="121">
        <v>1</v>
      </c>
    </row>
    <row r="16" spans="1:12" x14ac:dyDescent="0.25">
      <c r="A16" s="120">
        <v>2</v>
      </c>
      <c r="B16" s="125" t="s">
        <v>618</v>
      </c>
      <c r="C16" s="121">
        <v>0</v>
      </c>
      <c r="D16" s="121">
        <f>Erillishankinnat!C12</f>
        <v>11363.636363636364</v>
      </c>
      <c r="E16" s="121">
        <f>Erillishankinnat!C9</f>
        <v>10000</v>
      </c>
      <c r="F16" s="121">
        <v>0</v>
      </c>
    </row>
    <row r="17" spans="1:6" x14ac:dyDescent="0.25">
      <c r="A17" s="120">
        <v>3</v>
      </c>
      <c r="B17" s="125" t="s">
        <v>619</v>
      </c>
      <c r="C17" s="121">
        <v>0</v>
      </c>
      <c r="D17" s="121">
        <f>Erillishankinnat!C17</f>
        <v>6363.636363636364</v>
      </c>
      <c r="E17" s="121">
        <f>Erillishankinnat!C14</f>
        <v>5600</v>
      </c>
      <c r="F17" s="121"/>
    </row>
    <row r="18" spans="1:6" x14ac:dyDescent="0.25">
      <c r="A18" s="120">
        <v>4</v>
      </c>
      <c r="B18" s="125" t="s">
        <v>620</v>
      </c>
      <c r="C18" s="121">
        <v>0</v>
      </c>
      <c r="D18" s="121">
        <f>Erillishankinnat!C22</f>
        <v>0</v>
      </c>
      <c r="E18" s="121">
        <f>Erillishankinnat!C19</f>
        <v>0</v>
      </c>
      <c r="F18" s="121"/>
    </row>
    <row r="19" spans="1:6" x14ac:dyDescent="0.25">
      <c r="A19" s="120">
        <v>5</v>
      </c>
      <c r="B19" s="125" t="s">
        <v>621</v>
      </c>
      <c r="C19" s="121">
        <v>0</v>
      </c>
      <c r="D19" s="121">
        <f>Erillishankinnat!C27</f>
        <v>0</v>
      </c>
      <c r="E19" s="121">
        <f>Erillishankinnat!C24</f>
        <v>0</v>
      </c>
      <c r="F19" s="121"/>
    </row>
    <row r="20" spans="1:6" x14ac:dyDescent="0.25">
      <c r="A20" s="120">
        <v>6</v>
      </c>
      <c r="B20" s="125" t="s">
        <v>622</v>
      </c>
      <c r="C20" s="121">
        <v>0</v>
      </c>
      <c r="D20" s="121">
        <f>Erillishankinnat!C32</f>
        <v>0</v>
      </c>
      <c r="E20" s="121">
        <f>Erillishankinnat!C29</f>
        <v>0</v>
      </c>
      <c r="F20" s="121"/>
    </row>
    <row r="21" spans="1:6" x14ac:dyDescent="0.25">
      <c r="A21" s="120">
        <v>7</v>
      </c>
      <c r="B21" s="125" t="s">
        <v>623</v>
      </c>
      <c r="C21" s="121">
        <v>0</v>
      </c>
      <c r="D21" s="121">
        <f>Erillishankinnat!C37</f>
        <v>0</v>
      </c>
      <c r="E21" s="121">
        <f>Erillishankinnat!C34</f>
        <v>0</v>
      </c>
      <c r="F21" s="121"/>
    </row>
    <row r="22" spans="1:6" x14ac:dyDescent="0.25">
      <c r="A22" s="120">
        <v>8</v>
      </c>
      <c r="B22" s="125" t="s">
        <v>624</v>
      </c>
      <c r="C22" s="121">
        <v>0</v>
      </c>
      <c r="D22" s="121">
        <f>Erillishankinnat!C42</f>
        <v>0</v>
      </c>
      <c r="E22" s="121">
        <f>Erillishankinnat!C39</f>
        <v>0</v>
      </c>
      <c r="F22" s="121"/>
    </row>
    <row r="23" spans="1:6" x14ac:dyDescent="0.25">
      <c r="A23" s="120">
        <v>9</v>
      </c>
      <c r="B23" s="125"/>
      <c r="C23" s="121">
        <v>0</v>
      </c>
      <c r="D23" s="121">
        <f>Erillishankinnat!C47</f>
        <v>0</v>
      </c>
      <c r="E23" s="121">
        <f>Erillishankinnat!C44</f>
        <v>0</v>
      </c>
      <c r="F23" s="121"/>
    </row>
    <row r="24" spans="1:6" x14ac:dyDescent="0.25">
      <c r="A24" s="120">
        <v>10</v>
      </c>
      <c r="B24" s="125"/>
      <c r="C24" s="121">
        <v>0</v>
      </c>
      <c r="D24" s="121">
        <f>Erillishankinnat!C52</f>
        <v>0</v>
      </c>
      <c r="E24" s="121">
        <f>Erillishankinnat!C49</f>
        <v>0</v>
      </c>
      <c r="F24" s="121"/>
    </row>
    <row r="25" spans="1:6" x14ac:dyDescent="0.25">
      <c r="A25" s="120">
        <v>11</v>
      </c>
      <c r="B25" s="125"/>
      <c r="C25" s="121">
        <v>0</v>
      </c>
      <c r="D25" s="121">
        <f>Erillishankinnat!C57</f>
        <v>0</v>
      </c>
      <c r="E25" s="121">
        <f>Erillishankinnat!C54</f>
        <v>0</v>
      </c>
      <c r="F25" s="121"/>
    </row>
    <row r="26" spans="1:6" x14ac:dyDescent="0.25">
      <c r="A26" s="120">
        <v>12</v>
      </c>
      <c r="B26" s="125"/>
      <c r="C26" s="121">
        <v>0</v>
      </c>
      <c r="D26" s="121">
        <f>Erillishankinnat!C62</f>
        <v>0</v>
      </c>
      <c r="E26" s="121">
        <f>Erillishankinnat!C59</f>
        <v>0</v>
      </c>
      <c r="F26" s="121"/>
    </row>
    <row r="27" spans="1:6" x14ac:dyDescent="0.25">
      <c r="A27" s="120">
        <v>13</v>
      </c>
      <c r="B27" s="125"/>
      <c r="C27" s="121">
        <v>0</v>
      </c>
      <c r="D27" s="121">
        <f>Erillishankinnat!C67</f>
        <v>0</v>
      </c>
      <c r="E27" s="121">
        <f>Erillishankinnat!C64</f>
        <v>0</v>
      </c>
      <c r="F27" s="121"/>
    </row>
    <row r="28" spans="1:6" x14ac:dyDescent="0.25">
      <c r="A28" s="120">
        <v>14</v>
      </c>
      <c r="B28" s="125"/>
      <c r="C28" s="121">
        <v>0</v>
      </c>
      <c r="D28" s="121">
        <f>Erillishankinnat!C72</f>
        <v>0</v>
      </c>
      <c r="E28" s="121">
        <f>Erillishankinnat!C69</f>
        <v>0</v>
      </c>
      <c r="F28" s="121"/>
    </row>
    <row r="29" spans="1:6" x14ac:dyDescent="0.25">
      <c r="A29" s="120">
        <v>15</v>
      </c>
      <c r="B29" s="125"/>
      <c r="C29" s="121">
        <v>0</v>
      </c>
      <c r="D29" s="121">
        <f>Erillishankinnat!C77</f>
        <v>0</v>
      </c>
      <c r="E29" s="121">
        <f>Erillishankinnat!C74</f>
        <v>0</v>
      </c>
      <c r="F29" s="121"/>
    </row>
    <row r="30" spans="1:6" x14ac:dyDescent="0.25">
      <c r="A30" s="126"/>
      <c r="B30" s="126"/>
      <c r="C30" s="116">
        <f>C14+C11+C7</f>
        <v>0</v>
      </c>
      <c r="D30" s="116">
        <f t="shared" ref="D30:F30" si="2">D14+D11+D7</f>
        <v>29181.81818181818</v>
      </c>
      <c r="E30" s="116">
        <f t="shared" si="2"/>
        <v>170648.52397500002</v>
      </c>
      <c r="F30" s="116">
        <f t="shared" si="2"/>
        <v>3</v>
      </c>
    </row>
    <row r="31" spans="1:6" x14ac:dyDescent="0.25">
      <c r="A31" s="112"/>
      <c r="B31" s="112"/>
      <c r="C31" s="129" t="s">
        <v>612</v>
      </c>
      <c r="D31" s="129" t="s">
        <v>613</v>
      </c>
      <c r="E31" s="129" t="s">
        <v>614</v>
      </c>
      <c r="F31" s="129" t="s">
        <v>626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86C80C-61A3-43D5-AD6B-263D7EA9BF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Tuntihinnoittelut</vt:lpstr>
      <vt:lpstr>Materiaalihinnoittelut</vt:lpstr>
      <vt:lpstr>Purkutyöt</vt:lpstr>
      <vt:lpstr>Väliseinät sisällä</vt:lpstr>
      <vt:lpstr>Maalaukset</vt:lpstr>
      <vt:lpstr>Alakatot</vt:lpstr>
      <vt:lpstr>Laatoitukset</vt:lpstr>
      <vt:lpstr>Lattiat</vt:lpstr>
      <vt:lpstr>Oviasennukset ja listoitukset</vt:lpstr>
      <vt:lpstr>Erillishankinnat</vt:lpstr>
      <vt:lpstr>Eritelysivu</vt:lpstr>
      <vt:lpstr>Koontisivu</vt:lpstr>
      <vt:lpstr>Massalista, rak. tarvikkeet </vt:lpstr>
      <vt:lpstr>Budjetti</vt:lpstr>
      <vt:lpstr>Eritelysivu!Print_Area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Heikki</dc:creator>
  <cp:lastModifiedBy>Heikki Tolonen</cp:lastModifiedBy>
  <cp:lastPrinted>2022-06-15T03:09:02Z</cp:lastPrinted>
  <dcterms:created xsi:type="dcterms:W3CDTF">2022-06-03T16:46:06Z</dcterms:created>
  <dcterms:modified xsi:type="dcterms:W3CDTF">2025-03-13T08:43:03Z</dcterms:modified>
</cp:coreProperties>
</file>